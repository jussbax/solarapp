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OB" sheetId="1" state="visible" r:id="rId3"/>
    <sheet name="MATERIALS DB" sheetId="2" state="visible" r:id="rId4"/>
    <sheet name="NOTES" sheetId="3" state="visible" r:id="rId5"/>
    <sheet name="DRIVERS" sheetId="4" state="visible" r:id="rId6"/>
    <sheet name="SUPPLIERS" sheetId="5" state="visible" r:id="rId7"/>
    <sheet name="TOLL" sheetId="6" state="visible" r:id="rId8"/>
    <sheet name="ROUTE" sheetId="7" state="visible" r:id="rId9"/>
    <sheet name="REF BASKET" sheetId="8" state="visible" r:id="rId10"/>
    <sheet name="LABOR RATES" sheetId="9" state="visible" r:id="rId11"/>
    <sheet name="MOB-DEMOB" sheetId="10" state="visible" r:id="rId12"/>
    <sheet name="TOOLS" sheetId="11" state="visible" r:id="rId13"/>
    <sheet name="LABOR CALC" sheetId="12" state="visible" r:id="rId14"/>
  </sheets>
  <definedNames>
    <definedName function="false" hidden="true" localSheetId="1" name="_xlnm._FilterDatabase" vbProcedure="false">'MATERIALS DB'!$A$3:$AD$365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<sst xmlns="http://schemas.openxmlformats.org/spreadsheetml/2006/main" count="4511" uniqueCount="1752">
  <si>
    <t xml:space="preserve">JOB - one job: BOM, freight, labor, other direct costs, price build-up and close-out</t>
  </si>
  <si>
    <t xml:space="preserve">Job name</t>
  </si>
  <si>
    <t xml:space="preserve">Sample: 5 kWp / 6 kW / 11.7 kWh hybrid</t>
  </si>
  <si>
    <t xml:space="preserve">Client</t>
  </si>
  <si>
    <t xml:space="preserve">Site address</t>
  </si>
  <si>
    <t xml:space="preserve">Pila-area site</t>
  </si>
  <si>
    <t xml:space="preserve">Date</t>
  </si>
  <si>
    <t xml:space="preserve">Extra km beyond a Pila-area site, one way</t>
  </si>
  <si>
    <t xml:space="preserve">Input. Adds to the truck run and to crew transport each day</t>
  </si>
  <si>
    <t xml:space="preserve">Extra toll per round trip for a farther site</t>
  </si>
  <si>
    <t xml:space="preserve">Input</t>
  </si>
  <si>
    <t xml:space="preserve">Net metering application? (Yes/No)</t>
  </si>
  <si>
    <t xml:space="preserve">Yes</t>
  </si>
  <si>
    <t xml:space="preserve">LABOR INPUTS</t>
  </si>
  <si>
    <t xml:space="preserve">Roof difficulty factor</t>
  </si>
  <si>
    <t xml:space="preserve">Simple roof by default; 1.00 = your 9.12 kWp multi-face roof; 1.25 two-storey or steep; 1.50 tile</t>
  </si>
  <si>
    <t xml:space="preserve">Roof closed within (days)</t>
  </si>
  <si>
    <t xml:space="preserve">Max installation days</t>
  </si>
  <si>
    <t xml:space="preserve">Max pairs</t>
  </si>
  <si>
    <t xml:space="preserve">Pairs of 1 skilled + 1 laborer on top of team lead + 1 laborer</t>
  </si>
  <si>
    <t xml:space="preserve">Battery hauling hours per pack</t>
  </si>
  <si>
    <t xml:space="preserve">0.5 ground floor, short carry; 1.0 or more upstairs or long carry</t>
  </si>
  <si>
    <t xml:space="preserve">Your days on site (optional)</t>
  </si>
  <si>
    <t xml:space="preserve">TAKEOFF FOR LABOR (worked out from the BOM below; type over a cell if a count is wrong)</t>
  </si>
  <si>
    <t xml:space="preserve">Panels</t>
  </si>
  <si>
    <t xml:space="preserve">Hybrid inverters (incl. all-in-one)</t>
  </si>
  <si>
    <t xml:space="preserve">Grid-tie inverters</t>
  </si>
  <si>
    <t xml:space="preserve">Battery packs</t>
  </si>
  <si>
    <t xml:space="preserve">Heaviest battery pack, kg</t>
  </si>
  <si>
    <t xml:space="preserve">Enclosures (boxes)</t>
  </si>
  <si>
    <t xml:space="preserve">Breakers, SPDs, ATS</t>
  </si>
  <si>
    <t xml:space="preserve">Conduit and cable tray, m</t>
  </si>
  <si>
    <t xml:space="preserve">Tray pieces counted as 2 m each; conduit sold by the roll is not counted - type over if needed</t>
  </si>
  <si>
    <t xml:space="preserve">Wire, m</t>
  </si>
  <si>
    <t xml:space="preserve">String home-run MC4 pairs</t>
  </si>
  <si>
    <t xml:space="preserve">Ground rods</t>
  </si>
  <si>
    <t xml:space="preserve">BOM - enter DB codes and quantities (sample: the 6 kW hybrid from your rev2 package)</t>
  </si>
  <si>
    <t xml:space="preserve">Code (input)</t>
  </si>
  <si>
    <t xml:space="preserve">Qty (input)</t>
  </si>
  <si>
    <t xml:space="preserve">Item</t>
  </si>
  <si>
    <t xml:space="preserve">Category</t>
  </si>
  <si>
    <t xml:space="preserve">Supplier</t>
  </si>
  <si>
    <t xml:space="preserve">Unit</t>
  </si>
  <si>
    <t xml:space="preserve">Landed cost per unit, before freight</t>
  </si>
  <si>
    <t xml:space="preserve">Markup tier</t>
  </si>
  <si>
    <t xml:space="preserve">Landed cost, line</t>
  </si>
  <si>
    <t xml:space="preserve">Markup, line</t>
  </si>
  <si>
    <t xml:space="preserve">Selling price, line</t>
  </si>
  <si>
    <t xml:space="preserve">Truck share, line</t>
  </si>
  <si>
    <t xml:space="preserve">Weight per unit, kg</t>
  </si>
  <si>
    <t xml:space="preserve">Actual cost, line (close-out input)</t>
  </si>
  <si>
    <t xml:space="preserve">Variance (actual - estimate)</t>
  </si>
  <si>
    <t xml:space="preserve">Remarks</t>
  </si>
  <si>
    <t xml:space="preserve">Rating</t>
  </si>
  <si>
    <t xml:space="preserve">Hybrid inverter? (1/0)</t>
  </si>
  <si>
    <t xml:space="preserve">BC-PNL-004</t>
  </si>
  <si>
    <t xml:space="preserve">FS-INV-001</t>
  </si>
  <si>
    <t xml:space="preserve">FS-BAT-006</t>
  </si>
  <si>
    <t xml:space="preserve">BC-MNT-001</t>
  </si>
  <si>
    <t xml:space="preserve">BC-MNT-006</t>
  </si>
  <si>
    <t xml:space="preserve">BC-MNT-003</t>
  </si>
  <si>
    <t xml:space="preserve">BC-MNT-004</t>
  </si>
  <si>
    <t xml:space="preserve">BC-MNT-005</t>
  </si>
  <si>
    <t xml:space="preserve">BC-WIR-001</t>
  </si>
  <si>
    <t xml:space="preserve">BC-WIR-002</t>
  </si>
  <si>
    <t xml:space="preserve">IAN-WIR-004</t>
  </si>
  <si>
    <t xml:space="preserve">OP-WIR-007</t>
  </si>
  <si>
    <t xml:space="preserve">IAN-WIR-026</t>
  </si>
  <si>
    <t xml:space="preserve">IAN-PRT-009</t>
  </si>
  <si>
    <t xml:space="preserve">IAN-PRT-018</t>
  </si>
  <si>
    <t xml:space="preserve">IAN-PRT-003</t>
  </si>
  <si>
    <t xml:space="preserve">OP-PRT-035</t>
  </si>
  <si>
    <t xml:space="preserve">IAN-PRT-027</t>
  </si>
  <si>
    <t xml:space="preserve">IAN-PRT-035</t>
  </si>
  <si>
    <t xml:space="preserve">OP-ENC-007</t>
  </si>
  <si>
    <t xml:space="preserve">OP-ENC-009</t>
  </si>
  <si>
    <t xml:space="preserve">IAN-ENC-011</t>
  </si>
  <si>
    <t xml:space="preserve">OP-GND-001</t>
  </si>
  <si>
    <t xml:space="preserve">IAN-GND-001</t>
  </si>
  <si>
    <t xml:space="preserve">IAN-CSM-001</t>
  </si>
  <si>
    <t xml:space="preserve">BOM total</t>
  </si>
  <si>
    <t xml:space="preserve">Add rows above 72 by inserting inside the range so the totals follow</t>
  </si>
  <si>
    <t xml:space="preserve">FREIGHT - pickup run for the suppliers this job buys from</t>
  </si>
  <si>
    <t xml:space="preserve">Stop</t>
  </si>
  <si>
    <t xml:space="preserve">Location #</t>
  </si>
  <si>
    <t xml:space="preserve">On this run?</t>
  </si>
  <si>
    <t xml:space="preserve">Last stop so far</t>
  </si>
  <si>
    <t xml:space="preserve">Leg km</t>
  </si>
  <si>
    <t xml:space="preserve">Leg toll</t>
  </si>
  <si>
    <t xml:space="preserve">Pila base</t>
  </si>
  <si>
    <t xml:space="preserve">IAN Solar</t>
  </si>
  <si>
    <t xml:space="preserve">Felicity Solar</t>
  </si>
  <si>
    <t xml:space="preserve">One Point</t>
  </si>
  <si>
    <t xml:space="preserve">Blue Carbon</t>
  </si>
  <si>
    <t xml:space="preserve">Job site</t>
  </si>
  <si>
    <t xml:space="preserve">Loop km (+ 2 x extra km)</t>
  </si>
  <si>
    <t xml:space="preserve">Toll (+ extra toll)</t>
  </si>
  <si>
    <t xml:space="preserve">Run cost</t>
  </si>
  <si>
    <t xml:space="preserve">Ownership, driver, helper per trip-day + km x running cost + toll</t>
  </si>
  <si>
    <t xml:space="preserve">Truck share of this BOM</t>
  </si>
  <si>
    <t xml:space="preserve">Trips</t>
  </si>
  <si>
    <t xml:space="preserve">A second trip is assumed to repeat the whole route</t>
  </si>
  <si>
    <t xml:space="preserve">Freight</t>
  </si>
  <si>
    <t xml:space="preserve">LABOR, MOB/DEMOB AND TOOLS (from LABOR CALC, last column)</t>
  </si>
  <si>
    <t xml:space="preserve">Installation man-hours</t>
  </si>
  <si>
    <t xml:space="preserve">Crew</t>
  </si>
  <si>
    <t xml:space="preserve">Persons on site</t>
  </si>
  <si>
    <t xml:space="preserve">Installation days</t>
  </si>
  <si>
    <t xml:space="preserve">Person-days</t>
  </si>
  <si>
    <t xml:space="preserve">Labor</t>
  </si>
  <si>
    <t xml:space="preserve">Mob/demob</t>
  </si>
  <si>
    <t xml:space="preserve">Extra km for a farther site added per day</t>
  </si>
  <si>
    <t xml:space="preserve">Tools</t>
  </si>
  <si>
    <t xml:space="preserve">PRICE BUILD-UP</t>
  </si>
  <si>
    <t xml:space="preserve">Markup on labor, mob/demob, tools, PPE and the seal (input)</t>
  </si>
  <si>
    <t xml:space="preserve">Your "all others" tier</t>
  </si>
  <si>
    <t xml:space="preserve">PPE per person-day (input)</t>
  </si>
  <si>
    <t xml:space="preserve">Est. - harnesses, lifeline, insulated gloves, hard hats over about 3 years, plus disposable gloves and masks. Replace once you buy the PPE</t>
  </si>
  <si>
    <t xml:space="preserve">OCM share of markup (input)</t>
  </si>
  <si>
    <t xml:space="preserve">The rest is OP</t>
  </si>
  <si>
    <t xml:space="preserve">Line</t>
  </si>
  <si>
    <t xml:space="preserve">Direct cost</t>
  </si>
  <si>
    <t xml:space="preserve">Markup</t>
  </si>
  <si>
    <t xml:space="preserve">Selling price (before commission, VAT)</t>
  </si>
  <si>
    <t xml:space="preserve">Actual cost (close-out input)</t>
  </si>
  <si>
    <t xml:space="preserve">Materials (BOM)</t>
  </si>
  <si>
    <t xml:space="preserve">By item</t>
  </si>
  <si>
    <t xml:space="preserve">Item tiers: panels and inverters 10%, batteries 15%, others 30%</t>
  </si>
  <si>
    <t xml:space="preserve">PPE</t>
  </si>
  <si>
    <t xml:space="preserve">Est. per person-day</t>
  </si>
  <si>
    <t xml:space="preserve">PEE sign and seal</t>
  </si>
  <si>
    <t xml:space="preserve">Your figure: P1,000, one seal per job</t>
  </si>
  <si>
    <t xml:space="preserve">LGU electrical permit and CFEI</t>
  </si>
  <si>
    <t xml:space="preserve">Est. - ask the municipal engineering office for the actual fees. Passed through at cost</t>
  </si>
  <si>
    <t xml:space="preserve">ERC Certificate of Compliance fee (net metering)</t>
  </si>
  <si>
    <t xml:space="preserve">P1,500 per Meralco. Passed through at cost</t>
  </si>
  <si>
    <t xml:space="preserve">Bi-directional meter difference (net metering)</t>
  </si>
  <si>
    <t xml:space="preserve">Up to P3,000 for residential per Meralco (ERC advisory, Sep 22, 2025). Passed through at cost</t>
  </si>
  <si>
    <t xml:space="preserve">Total</t>
  </si>
  <si>
    <t xml:space="preserve">Markup over direct cost</t>
  </si>
  <si>
    <t xml:space="preserve">Agent commission (5% of direct cost)</t>
  </si>
  <si>
    <t xml:space="preserve">Contract price, VAT-exclusive</t>
  </si>
  <si>
    <t xml:space="preserve">VAT 12%</t>
  </si>
  <si>
    <t xml:space="preserve">CONTRACT PRICE, VAT-inclusive</t>
  </si>
  <si>
    <t xml:space="preserve">Rounded up to the next P100</t>
  </si>
  <si>
    <t xml:space="preserve">Planned OCM</t>
  </si>
  <si>
    <t xml:space="preserve">Planned OP</t>
  </si>
  <si>
    <t xml:space="preserve">Array size, kWp</t>
  </si>
  <si>
    <t xml:space="preserve">Price per watt-peak, VAT-inclusive</t>
  </si>
  <si>
    <t xml:space="preserve">CLOSE-OUT (fill the Actual column above and the BOM actuals as invoices come in)</t>
  </si>
  <si>
    <t xml:space="preserve">Actual direct cost</t>
  </si>
  <si>
    <t xml:space="preserve">Lines without an actual yet count at their estimate</t>
  </si>
  <si>
    <t xml:space="preserve">Actual gross profit (contract ex-VAT - actual direct cost - commission)</t>
  </si>
  <si>
    <t xml:space="preserve">OCM (stays at plan)</t>
  </si>
  <si>
    <t xml:space="preserve">Actual OP</t>
  </si>
  <si>
    <t xml:space="preserve">MATERIALS DB - landed cost per unit before freight, and selling price. Freight is one line per job. Sorted by category, then supplier</t>
  </si>
  <si>
    <t xml:space="preserve">Code</t>
  </si>
  <si>
    <t xml:space="preserve">Category (input)</t>
  </si>
  <si>
    <t xml:space="preserve">Supplier (input)</t>
  </si>
  <si>
    <t xml:space="preserve">Model / spec</t>
  </si>
  <si>
    <t xml:space="preserve">Sold as</t>
  </si>
  <si>
    <t xml:space="preserve">List price, VAT-ex (input)</t>
  </si>
  <si>
    <t xml:space="preserve">Dealer discount</t>
  </si>
  <si>
    <t xml:space="preserve">Net price</t>
  </si>
  <si>
    <t xml:space="preserve">Rating (input)</t>
  </si>
  <si>
    <t xml:space="preserve">Rating unit</t>
  </si>
  <si>
    <t xml:space="preserve">Net price per rating unit</t>
  </si>
  <si>
    <t xml:space="preserve">Package weight kg (input)</t>
  </si>
  <si>
    <t xml:space="preserve">Package volume m3 (input)</t>
  </si>
  <si>
    <t xml:space="preserve">Weight/volume source</t>
  </si>
  <si>
    <t xml:space="preserve">Truck share per unit</t>
  </si>
  <si>
    <t xml:space="preserve">Units per full truck</t>
  </si>
  <si>
    <t xml:space="preserve">Handling</t>
  </si>
  <si>
    <t xml:space="preserve">Wastage</t>
  </si>
  <si>
    <t xml:space="preserve">Payment fee</t>
  </si>
  <si>
    <t xml:space="preserve">Storage (input)</t>
  </si>
  <si>
    <t xml:space="preserve">LANDED COST before freight</t>
  </si>
  <si>
    <t xml:space="preserve">Landed over net price</t>
  </si>
  <si>
    <t xml:space="preserve">Selling price (before freight, commission, VAT)</t>
  </si>
  <si>
    <t xml:space="preserve">Customer price (with 5% commission, VAT; freight not included)</t>
  </si>
  <si>
    <t xml:space="preserve">Price list date</t>
  </si>
  <si>
    <t xml:space="preserve">Previous price (Sep 7)</t>
  </si>
  <si>
    <t xml:space="preserve">BC-PNL-001</t>
  </si>
  <si>
    <t xml:space="preserve">Solar Panel</t>
  </si>
  <si>
    <t xml:space="preserve">585W Monofacial solar panel</t>
  </si>
  <si>
    <t xml:space="preserve">BCT-585M10NH-144, TOPCon, 2278x1134x30 mm</t>
  </si>
  <si>
    <t xml:space="preserve">pc</t>
  </si>
  <si>
    <t xml:space="preserve">W</t>
  </si>
  <si>
    <t xml:space="preserve">Datasheet (volume +10% packing)</t>
  </si>
  <si>
    <t xml:space="preserve">Sep 19, 2026</t>
  </si>
  <si>
    <t xml:space="preserve">Price list model code BCT-16M-144-585W</t>
  </si>
  <si>
    <t xml:space="preserve">BC-PNL-002</t>
  </si>
  <si>
    <t xml:space="preserve">585W Bifacial solar panel</t>
  </si>
  <si>
    <t xml:space="preserve">BCT-585M10NHB-144, TOPCon, 2278x1134x30 mm</t>
  </si>
  <si>
    <t xml:space="preserve">BC-PNL-003</t>
  </si>
  <si>
    <t xml:space="preserve">600W Monofacial solar panel</t>
  </si>
  <si>
    <t xml:space="preserve">BCT-600G12RNH-132, TOPCon, 2382x1134x30 mm</t>
  </si>
  <si>
    <t xml:space="preserve">CHECK: the Sep 7 list gives model BCT-G12RNHB-132-600, which is the bifacial code (32.0 kg). Confirm mono or bifacial</t>
  </si>
  <si>
    <t xml:space="preserve">630W Bifacial solar panel</t>
  </si>
  <si>
    <t xml:space="preserve">Datasheet received: BCT-630G12RNH-132 (monofacial), 2382x1134x30 mm</t>
  </si>
  <si>
    <t xml:space="preserve">CHECK: price list says bifacial, datasheet is monofacial. A bifacial 630 W would weigh about 32 kg. New on the Sep 19 list</t>
  </si>
  <si>
    <t xml:space="preserve">IAN-PNL-001</t>
  </si>
  <si>
    <t xml:space="preserve">JA JAM66D46 720W N-TYPE BIFACIAL</t>
  </si>
  <si>
    <t xml:space="preserve">JA Solar; 720 W; N-type; bifacial; Luzon branch price; large-format panel</t>
  </si>
  <si>
    <t xml:space="preserve">List panel weight; volume = panel size +10% (list packaging is per pallet)</t>
  </si>
  <si>
    <t xml:space="preserve">Sep 3, 2026</t>
  </si>
  <si>
    <t xml:space="preserve">IAN-PNL-002</t>
  </si>
  <si>
    <t xml:space="preserve">IAN670-132BCDGF 670W N-TYPE BIFACIAL BC</t>
  </si>
  <si>
    <t xml:space="preserve">IAN Solar; 670 W; N-type; bifacial; back-contact; Luzon branch price</t>
  </si>
  <si>
    <t xml:space="preserve">IAN-PNL-003</t>
  </si>
  <si>
    <t xml:space="preserve">JA JAM66D45 625W N-TYPE BIFACIAL</t>
  </si>
  <si>
    <t xml:space="preserve">JA Solar; 625 W; N-type; bifacial; Luzon branch price</t>
  </si>
  <si>
    <t xml:space="preserve">IAN-PNL-004</t>
  </si>
  <si>
    <t xml:space="preserve">JA JAM66D45 630W N-TYPE BIFACIAL</t>
  </si>
  <si>
    <t xml:space="preserve">JA Solar; 630 W; N-type; bifacial; Luzon branch price</t>
  </si>
  <si>
    <t xml:space="preserve">OP-PNL-001</t>
  </si>
  <si>
    <t xml:space="preserve">200W 10BB MONO</t>
  </si>
  <si>
    <t xml:space="preserve">Solar Homes; 200 W; Solar Homes</t>
  </si>
  <si>
    <t xml:space="preserve">Sep 11, 2026</t>
  </si>
  <si>
    <t xml:space="preserve">OP-PNL-002</t>
  </si>
  <si>
    <t xml:space="preserve">150W 10BB MONO</t>
  </si>
  <si>
    <t xml:space="preserve">Solar Homes; 150 W; Solar Homes</t>
  </si>
  <si>
    <t xml:space="preserve">OP-PNL-003</t>
  </si>
  <si>
    <t xml:space="preserve">100W 10BB MONO</t>
  </si>
  <si>
    <t xml:space="preserve">Solar Homes; 100 W; Solar Homes</t>
  </si>
  <si>
    <t xml:space="preserve">OP-PNL-004</t>
  </si>
  <si>
    <t xml:space="preserve">TRINA-MONO-620W - N TYPE</t>
  </si>
  <si>
    <t xml:space="preserve">Trina Solar; 620 W; N-type</t>
  </si>
  <si>
    <t xml:space="preserve">OP-PNL-005</t>
  </si>
  <si>
    <t xml:space="preserve">TRINA-MONO-630W - N TYPE</t>
  </si>
  <si>
    <t xml:space="preserve">Trina Solar; 630 W; N-type</t>
  </si>
  <si>
    <t xml:space="preserve">OP-PNL-006</t>
  </si>
  <si>
    <t xml:space="preserve">AIKO ABC - 665W BI-FACIAL</t>
  </si>
  <si>
    <t xml:space="preserve">Aiko; 665 W; bifacial; back-contact</t>
  </si>
  <si>
    <t xml:space="preserve">BC-INV-001</t>
  </si>
  <si>
    <t xml:space="preserve">Inverter</t>
  </si>
  <si>
    <t xml:space="preserve">4 kW 24V hybrid off-grid inverter, single use</t>
  </si>
  <si>
    <t xml:space="preserve">BCT-FXC-4KW</t>
  </si>
  <si>
    <t xml:space="preserve">kW</t>
  </si>
  <si>
    <t xml:space="preserve">Est.</t>
  </si>
  <si>
    <t xml:space="preserve">Off-grid type</t>
  </si>
  <si>
    <t xml:space="preserve">BC-INV-002</t>
  </si>
  <si>
    <t xml:space="preserve">6 kW 48V hybrid off-grid inverter, single use</t>
  </si>
  <si>
    <t xml:space="preserve">BCT-FXC-6KW</t>
  </si>
  <si>
    <t xml:space="preserve">Weight: -P datasheet; volume Est.</t>
  </si>
  <si>
    <t xml:space="preserve">BC-INV-003</t>
  </si>
  <si>
    <t xml:space="preserve">6 kW 48V hybrid off-grid inverter, parallel</t>
  </si>
  <si>
    <t xml:space="preserve">BCT-FXC-6KW-P, 510x306x115 mm</t>
  </si>
  <si>
    <t xml:space="preserve">Weight: datasheet; volume Est.</t>
  </si>
  <si>
    <t xml:space="preserve">Off-grid type with feed-in; PV max 18A / 6,000 W, 500 Voc. CHECK grid-tie certification before any net-metered job</t>
  </si>
  <si>
    <t xml:space="preserve">BC-INV-004</t>
  </si>
  <si>
    <t xml:space="preserve">6.5 kW 48V hybrid off-grid inverter, parallel</t>
  </si>
  <si>
    <t xml:space="preserve">BCT-FXC-6.5KW-P</t>
  </si>
  <si>
    <t xml:space="preserve">Est. (datasheet not received)</t>
  </si>
  <si>
    <t xml:space="preserve">BC-INV-005</t>
  </si>
  <si>
    <t xml:space="preserve">6.5 kW 48V hybrid off-grid inverter, parallel (H)</t>
  </si>
  <si>
    <t xml:space="preserve">BCT-FXC-6.5KW-P-H</t>
  </si>
  <si>
    <t xml:space="preserve">BC-INV-006</t>
  </si>
  <si>
    <t xml:space="preserve">8 kW hybrid inverter (on/off-grid)</t>
  </si>
  <si>
    <t xml:space="preserve">BCT-DLL-L1M3-8KW</t>
  </si>
  <si>
    <t xml:space="preserve">Est. (same cabinet as 10/12 kW assumed)</t>
  </si>
  <si>
    <t xml:space="preserve">BC-INV-007</t>
  </si>
  <si>
    <t xml:space="preserve">10 kW hybrid inverter (on/off-grid)</t>
  </si>
  <si>
    <t xml:space="preserve">BCT-DLL-L1M3-10KW, 420x670x233 mm</t>
  </si>
  <si>
    <t xml:space="preserve">3 MPPT at 26A each; battery 220A; 16 units parallel; 5-yr warranty</t>
  </si>
  <si>
    <t xml:space="preserve">BC-INV-008</t>
  </si>
  <si>
    <t xml:space="preserve">12 kW hybrid inverter (on/off-grid)</t>
  </si>
  <si>
    <t xml:space="preserve">BCT-DLL-L1M3-12KW, 420x670x233 mm</t>
  </si>
  <si>
    <t xml:space="preserve">3 MPPT at 26A each; battery 250A; 5-yr warranty</t>
  </si>
  <si>
    <t xml:space="preserve">6 kW low-voltage hybrid inverter (grid-tie + backup)</t>
  </si>
  <si>
    <t xml:space="preserve">IVGM6KLP1G2, 470x376x251 mm</t>
  </si>
  <si>
    <t xml:space="preserve">Brochure: gross weight, package</t>
  </si>
  <si>
    <t xml:space="preserve">September 2026</t>
  </si>
  <si>
    <t xml:space="preserve">2 MPPT, 18A each (27A short-circuit); battery 135A; IEC 61727 / 62116 listed; 10-yr warranty. Same price as the 6 kW inverter in the packages</t>
  </si>
  <si>
    <t xml:space="preserve">FS-INV-002</t>
  </si>
  <si>
    <t xml:space="preserve">8 kW low-voltage hybrid inverter (grid-tie + backup)</t>
  </si>
  <si>
    <t xml:space="preserve">IVGM8KLP1G1, 430x654x243 mm</t>
  </si>
  <si>
    <t xml:space="preserve">2 MPPT, 26A each; battery 190A; 10-yr warranty. CHECK: grid certifications marked "in progress" and IEC 61727 / 62116 not listed - confirm before a net-metered job</t>
  </si>
  <si>
    <t xml:space="preserve">FS-INV-003</t>
  </si>
  <si>
    <t xml:space="preserve">12 kW low-voltage hybrid inverter (grid-tie + backup)</t>
  </si>
  <si>
    <t xml:space="preserve">IVGM16KLP1G1</t>
  </si>
  <si>
    <t xml:space="preserve">Est. (no spec in brochure; 8 kW used)</t>
  </si>
  <si>
    <t xml:space="preserve">CHECK: model code says 16K, price list says 12 kW. No spec sheet received. 10-yr warranty</t>
  </si>
  <si>
    <t xml:space="preserve">FS-INV-004</t>
  </si>
  <si>
    <t xml:space="preserve">50 kW high-voltage hybrid inverter, 3-phase</t>
  </si>
  <si>
    <t xml:space="preserve">IVGM50KHP3G1, 940x582x340 mm</t>
  </si>
  <si>
    <t xml:space="preserve">Commercial, 3-phase, high-voltage battery. 10-yr warranty</t>
  </si>
  <si>
    <t xml:space="preserve">FS-INV-005</t>
  </si>
  <si>
    <t xml:space="preserve">6 kW low-voltage off-grid inverter</t>
  </si>
  <si>
    <t xml:space="preserve">IVEM6048-II, 420x335x142 mm</t>
  </si>
  <si>
    <t xml:space="preserve">Brochure: package; gross weight Est. (net 12.5 kg)</t>
  </si>
  <si>
    <t xml:space="preserve">Off-grid type, 1 MPPT 27A, 500 Voc. 2-yr warranty</t>
  </si>
  <si>
    <t xml:space="preserve">FS-INV-006</t>
  </si>
  <si>
    <t xml:space="preserve">8 kW low-voltage off-grid inverter</t>
  </si>
  <si>
    <t xml:space="preserve">IVEM8048-II, 607x464x141 mm</t>
  </si>
  <si>
    <t xml:space="preserve">Brochure: package; gross weight Est. (net 23.7 kg)</t>
  </si>
  <si>
    <t xml:space="preserve">Off-grid type, 2 x 20A PV. 2-yr warranty</t>
  </si>
  <si>
    <t xml:space="preserve">FS-INV-007</t>
  </si>
  <si>
    <t xml:space="preserve">12 kW low-voltage off-grid inverter</t>
  </si>
  <si>
    <t xml:space="preserve">IVEM12048(-II), 634x476x141 mm</t>
  </si>
  <si>
    <t xml:space="preserve">Brochure: package; gross weight Est. (net 26.8 kg)</t>
  </si>
  <si>
    <t xml:space="preserve">Off-grid type, 2 x 27A PV. 2-yr warranty. Price list says IVEM12048, brochure IVEM12048-II</t>
  </si>
  <si>
    <t xml:space="preserve">FS-INV-008</t>
  </si>
  <si>
    <t xml:space="preserve">6 kW low-voltage eco-hybrid inverter</t>
  </si>
  <si>
    <t xml:space="preserve">IVAM6048P1G1, 435x320x183 mm</t>
  </si>
  <si>
    <t xml:space="preserve">Brochure: package; gross weight Est. (net 13.5 kg)</t>
  </si>
  <si>
    <t xml:space="preserve">Off-grid high-frequency type, 2 MPPT 20A each, battery 135A. Brochure: pilot production, specs may change. 5-yr warranty</t>
  </si>
  <si>
    <t xml:space="preserve">IAN-INV-001</t>
  </si>
  <si>
    <t xml:space="preserve">SOLIS S6-GR1P6K GRID-TIE 6kW</t>
  </si>
  <si>
    <t xml:space="preserve">Solis; 6 kW; Grid-tie 1P; -S = Bluetooth version</t>
  </si>
  <si>
    <t xml:space="preserve">List: gross weight, packaging size</t>
  </si>
  <si>
    <t xml:space="preserve">IAN-INV-002</t>
  </si>
  <si>
    <t xml:space="preserve">SOLIS S6-GR1P10K03-NV-ND GRID-TIE 10kW</t>
  </si>
  <si>
    <t xml:space="preserve">Solis; 10 kW; Grid-tie 1P</t>
  </si>
  <si>
    <t xml:space="preserve">IAN-INV-003</t>
  </si>
  <si>
    <t xml:space="preserve">SOLIS S5-GR1P8K GRID-TIE 8kW</t>
  </si>
  <si>
    <t xml:space="preserve">Solis; 8 kW; Grid-tie 1P</t>
  </si>
  <si>
    <t xml:space="preserve">IAN-INV-004</t>
  </si>
  <si>
    <t xml:space="preserve">SOLIS S6-GR1P5K GRID-TIE 5kW</t>
  </si>
  <si>
    <t xml:space="preserve">Solis; 5 kW; Grid-tie 1P</t>
  </si>
  <si>
    <t xml:space="preserve">IAN-INV-005</t>
  </si>
  <si>
    <t xml:space="preserve">SOLIS S6-GR1P3K GRID-TIE 3kW</t>
  </si>
  <si>
    <t xml:space="preserve">Solis; 3 kW; Grid-tie 1P</t>
  </si>
  <si>
    <t xml:space="preserve">IAN-INV-006</t>
  </si>
  <si>
    <t xml:space="preserve">SOLIS S6-GC3P200K07-ND GRID-TIE 200kW 480V</t>
  </si>
  <si>
    <t xml:space="preserve">Solis; 200 kW; 480V</t>
  </si>
  <si>
    <t xml:space="preserve">IAN-INV-007</t>
  </si>
  <si>
    <t xml:space="preserve">SOLIS S6-GC3P150K07-NV GRID-TIE 3P 150kW 380-400V</t>
  </si>
  <si>
    <t xml:space="preserve">Solis; 150 kW; 380-400V</t>
  </si>
  <si>
    <t xml:space="preserve">IAN-INV-008</t>
  </si>
  <si>
    <t xml:space="preserve">SOLIS-110K-5G-PRO GRID-TIE 3P 110kW 380-400V</t>
  </si>
  <si>
    <t xml:space="preserve">Solis; 110 kW; 380-400V</t>
  </si>
  <si>
    <t xml:space="preserve">IAN-INV-009</t>
  </si>
  <si>
    <t xml:space="preserve">SOLIS S5-GC125K-HV GRID-TIE 125kW 440-480V</t>
  </si>
  <si>
    <t xml:space="preserve">Solis; 125 kW; 440-480V</t>
  </si>
  <si>
    <t xml:space="preserve">IAN-INV-010</t>
  </si>
  <si>
    <t xml:space="preserve">SOLIS S5-GC100K-HV GRID-TIE 100kW 440-480V</t>
  </si>
  <si>
    <t xml:space="preserve">Solis; 100 kW; 440-480V</t>
  </si>
  <si>
    <t xml:space="preserve">IAN-INV-011</t>
  </si>
  <si>
    <t xml:space="preserve">SOLIS S5-GC60K-HV GRID-TIE 60kW 440-480V</t>
  </si>
  <si>
    <t xml:space="preserve">Solis; 60 kW; 440-480V</t>
  </si>
  <si>
    <t xml:space="preserve">IAN-INV-012</t>
  </si>
  <si>
    <t xml:space="preserve">SOLIS S5-GC50K-HV GRID-TIE 50kW 440-480V</t>
  </si>
  <si>
    <t xml:space="preserve">Solis; 50 kW; 440-480V</t>
  </si>
  <si>
    <t xml:space="preserve">IAN-INV-013</t>
  </si>
  <si>
    <t xml:space="preserve">SOLIS S6-GC3P100K07-LV-ND GRID-TIE 3P 100kW 220-230V</t>
  </si>
  <si>
    <t xml:space="preserve">Solis; 100 kW; 220-230V</t>
  </si>
  <si>
    <t xml:space="preserve">IAN-INV-014</t>
  </si>
  <si>
    <t xml:space="preserve">SOLIS GRID-TIE 3P 75kW 220-230V</t>
  </si>
  <si>
    <t xml:space="preserve">Solis; 75 kW; 220-230V</t>
  </si>
  <si>
    <t xml:space="preserve">IAN-INV-015</t>
  </si>
  <si>
    <t xml:space="preserve">SOLIS GRID-TIE 3P 60kW 220-230V</t>
  </si>
  <si>
    <t xml:space="preserve">Solis; 60 kW; 220-230V</t>
  </si>
  <si>
    <t xml:space="preserve">IAN-INV-016</t>
  </si>
  <si>
    <t xml:space="preserve">SOLIS GRID-TIE 3P 50kW 220-230V</t>
  </si>
  <si>
    <t xml:space="preserve">Solis; 50 kW; 220-230V</t>
  </si>
  <si>
    <t xml:space="preserve">IAN-INV-017</t>
  </si>
  <si>
    <t xml:space="preserve">SOLIS GRID-TIE 3P 30kW 220-230V</t>
  </si>
  <si>
    <t xml:space="preserve">Solis; 30 kW; 220-230V</t>
  </si>
  <si>
    <t xml:space="preserve">IAN-INV-018</t>
  </si>
  <si>
    <t xml:space="preserve">SOLIS GRID-TIE 3P 25kW 220-230V</t>
  </si>
  <si>
    <t xml:space="preserve">Solis; 25 kW; 220-230V</t>
  </si>
  <si>
    <t xml:space="preserve">IAN-INV-019</t>
  </si>
  <si>
    <t xml:space="preserve">SOLIS GRID-TIE 3P 20kW 220-230V</t>
  </si>
  <si>
    <t xml:space="preserve">Solis; 20 kW; 220-230V; S5-GC20K-LV / S6-GC3P20K04-LV-ND</t>
  </si>
  <si>
    <t xml:space="preserve">IAN-INV-020</t>
  </si>
  <si>
    <t xml:space="preserve">SOLIS S5-GC15K-LV GRID-TIE 3P 15kW 220-230V</t>
  </si>
  <si>
    <t xml:space="preserve">Solis; 15 kW; 220-230V</t>
  </si>
  <si>
    <t xml:space="preserve">IAN-INV-021</t>
  </si>
  <si>
    <t xml:space="preserve">SOLIS S5-GR3P10K-LV GRID-TIE 3P 10kW 220-230V</t>
  </si>
  <si>
    <t xml:space="preserve">Solis; 10 kW; 220-230V</t>
  </si>
  <si>
    <t xml:space="preserve">IAN-INV-022</t>
  </si>
  <si>
    <t xml:space="preserve">SOLIS S6-EH1P10K-L-PLUS HYBRID 10kW</t>
  </si>
  <si>
    <t xml:space="preserve">Solis; 10 kW; LV battery; Hybrid 1P LV battery (21A)</t>
  </si>
  <si>
    <t xml:space="preserve">IAN-INV-023</t>
  </si>
  <si>
    <t xml:space="preserve">SOLIS S6-EH1P12K03-NV-YD-L HYBRID 12kW</t>
  </si>
  <si>
    <t xml:space="preserve">Solis; 12 kW; List says '12W' - typo for 12kW</t>
  </si>
  <si>
    <t xml:space="preserve">CHECK: see Model / spec column</t>
  </si>
  <si>
    <t xml:space="preserve">IAN-INV-024</t>
  </si>
  <si>
    <t xml:space="preserve">SOLIS S6-EH1P16K03-NV-YD-L HYBRID 16kW</t>
  </si>
  <si>
    <t xml:space="preserve">Solis; 16 kW; LV battery; Hybrid 1P LV battery</t>
  </si>
  <si>
    <t xml:space="preserve">IAN-INV-025</t>
  </si>
  <si>
    <t xml:space="preserve">SOLIS S6-EH1P6K-L-PLUS HYBRID 6kW</t>
  </si>
  <si>
    <t xml:space="preserve">Solis; 6 kW; LV battery; Hybrid 1P LV battery</t>
  </si>
  <si>
    <t xml:space="preserve">IAN-INV-026</t>
  </si>
  <si>
    <t xml:space="preserve">SOLIS S6-EH1P8K-L-PLUS HYBRID 8kW</t>
  </si>
  <si>
    <t xml:space="preserve">Solis; 8 kW; LV battery; Hybrid 1P LV battery</t>
  </si>
  <si>
    <t xml:space="preserve">IAN-INV-027</t>
  </si>
  <si>
    <t xml:space="preserve">SOLIS S6-EH1P5K-L-PLUS HYBRID 5kW</t>
  </si>
  <si>
    <t xml:space="preserve">Solis; 5 kW; LV battery; Hybrid 1P LV battery</t>
  </si>
  <si>
    <t xml:space="preserve">IAN-INV-028</t>
  </si>
  <si>
    <t xml:space="preserve">SOLIS S6-EH3P125K10-NV-YD-H HYBRID 3P 125kW 380-400V</t>
  </si>
  <si>
    <t xml:space="preserve">Solis; 125 kW; 380-400V; HV battery</t>
  </si>
  <si>
    <t xml:space="preserve">IAN-INV-029</t>
  </si>
  <si>
    <t xml:space="preserve">SOLIS S6-EH3P50K-H HYBRID 3P 50kW 380-400V</t>
  </si>
  <si>
    <t xml:space="preserve">Solis; 50 kW; 380-400V; HV battery</t>
  </si>
  <si>
    <t xml:space="preserve">IAN-INV-030</t>
  </si>
  <si>
    <t xml:space="preserve">SOLIS S6-EH3P75K10-LV-YD-H HYBRID 3P 75kW 220-230V</t>
  </si>
  <si>
    <t xml:space="preserve">Solis; 75 kW; 220-230V; HV battery</t>
  </si>
  <si>
    <t xml:space="preserve">IAN-INV-031</t>
  </si>
  <si>
    <t xml:space="preserve">SOLIS S6-EH3P15K02-NV-YD-L HYBRID 3P 15kW 380-400V</t>
  </si>
  <si>
    <t xml:space="preserve">Solis; 15 kW; 380-400V; LV battery</t>
  </si>
  <si>
    <t xml:space="preserve">IAN-INV-032</t>
  </si>
  <si>
    <t xml:space="preserve">SOLIS S6-EH3P60K10-LV-YD-H HYBRID 3P 60kW 220-230V</t>
  </si>
  <si>
    <t xml:space="preserve">Solis; 60 kW; 220-230V; HV battery</t>
  </si>
  <si>
    <t xml:space="preserve">IAN-INV-033</t>
  </si>
  <si>
    <t xml:space="preserve">SOLIS S6-EH3P30K-H-LV HYBRID 3P 30kW 220-230V</t>
  </si>
  <si>
    <t xml:space="preserve">Solis; confirm 30 kW; 220-230V; HV battery; HV battery; list shows '259,00' -</t>
  </si>
  <si>
    <t xml:space="preserve">IAN-INV-034</t>
  </si>
  <si>
    <t xml:space="preserve">SOLIS S6-EH3P9K02-LV-YD-L HYBRID 3P 9kW 220-230V</t>
  </si>
  <si>
    <t xml:space="preserve">Solis; 9 kW; 220-230V; LV battery</t>
  </si>
  <si>
    <t xml:space="preserve">IAN-INV-035</t>
  </si>
  <si>
    <t xml:space="preserve">SOLIS S6-EO1P5K-48 OFF-GRID 5kW</t>
  </si>
  <si>
    <t xml:space="preserve">Solis; 5 kW; Off-grid 1P LV</t>
  </si>
  <si>
    <t xml:space="preserve">OP-INV-001</t>
  </si>
  <si>
    <t xml:space="preserve">40A ONE MPPT - 12/24/48V</t>
  </si>
  <si>
    <t xml:space="preserve">One Solar</t>
  </si>
  <si>
    <t xml:space="preserve">OP-INV-002</t>
  </si>
  <si>
    <t xml:space="preserve">60A ONE MPPT - 12/24/48V</t>
  </si>
  <si>
    <t xml:space="preserve">OP-INV-003</t>
  </si>
  <si>
    <t xml:space="preserve">100A ONE MPPT - 12/24/48V</t>
  </si>
  <si>
    <t xml:space="preserve">OP-INV-004</t>
  </si>
  <si>
    <t xml:space="preserve">DEYE 1P-8.0KW GRID-TIE</t>
  </si>
  <si>
    <t xml:space="preserve">Deye; 8 kW</t>
  </si>
  <si>
    <t xml:space="preserve">OP-INV-005</t>
  </si>
  <si>
    <t xml:space="preserve">DEYE 1P-10.0KW GRID-TIE</t>
  </si>
  <si>
    <t xml:space="preserve">Deye; 10 kW</t>
  </si>
  <si>
    <t xml:space="preserve">OP-INV-006</t>
  </si>
  <si>
    <t xml:space="preserve">DEYE 1P-6.0KW GRID-TIE</t>
  </si>
  <si>
    <t xml:space="preserve">Deye; 6 kW</t>
  </si>
  <si>
    <t xml:space="preserve">OP-INV-007</t>
  </si>
  <si>
    <t xml:space="preserve">DEYE 1P-3.6KW GRID-TIE</t>
  </si>
  <si>
    <t xml:space="preserve">Deye; 3.6 kW</t>
  </si>
  <si>
    <t xml:space="preserve">OP-INV-008</t>
  </si>
  <si>
    <t xml:space="preserve">DEYE-3P-050KW 380V</t>
  </si>
  <si>
    <t xml:space="preserve">Deye; 50 kW; 380V</t>
  </si>
  <si>
    <t xml:space="preserve">OP-INV-009</t>
  </si>
  <si>
    <t xml:space="preserve">DEYE-3P-100KW 380V</t>
  </si>
  <si>
    <t xml:space="preserve">Deye; 100 kW; 380V</t>
  </si>
  <si>
    <t xml:space="preserve">OP-INV-010</t>
  </si>
  <si>
    <t xml:space="preserve">DEYE-3P-125KW 480V</t>
  </si>
  <si>
    <t xml:space="preserve">Deye; 125 kW; 480V</t>
  </si>
  <si>
    <t xml:space="preserve">OP-INV-011</t>
  </si>
  <si>
    <t xml:space="preserve">DEYE 3P-75KW LV - GRID TIE</t>
  </si>
  <si>
    <t xml:space="preserve">Deye; 75 kW</t>
  </si>
  <si>
    <t xml:space="preserve">List net (gross 103 kg is below net 120 kg)</t>
  </si>
  <si>
    <t xml:space="preserve">OP-INV-012</t>
  </si>
  <si>
    <t xml:space="preserve">DEYE 3P-50KW LV - GRID TIE</t>
  </si>
  <si>
    <t xml:space="preserve">Deye; 50 kW</t>
  </si>
  <si>
    <t xml:space="preserve">OP-INV-013</t>
  </si>
  <si>
    <t xml:space="preserve">DEYE 3P-60KW LV - GRID TIE</t>
  </si>
  <si>
    <t xml:space="preserve">Deye; 60 kW</t>
  </si>
  <si>
    <t xml:space="preserve">OP-INV-014</t>
  </si>
  <si>
    <t xml:space="preserve">DEYE 3P-30KW LV - GRID TIE</t>
  </si>
  <si>
    <t xml:space="preserve">Deye; 30 kW</t>
  </si>
  <si>
    <t xml:space="preserve">OP-INV-015</t>
  </si>
  <si>
    <t xml:space="preserve">DEYE 3P-20KW LV - GRID TIE</t>
  </si>
  <si>
    <t xml:space="preserve">Deye; 20 kW</t>
  </si>
  <si>
    <t xml:space="preserve">OP-INV-016</t>
  </si>
  <si>
    <t xml:space="preserve">DEYE 3P-10KW LV - GRID TIE</t>
  </si>
  <si>
    <t xml:space="preserve">OP-INV-017</t>
  </si>
  <si>
    <t xml:space="preserve">DEYE 1P 12KW HYBRID 18/36/36A</t>
  </si>
  <si>
    <t xml:space="preserve">Deye; 12 kW; MPPT 18/36/36A</t>
  </si>
  <si>
    <t xml:space="preserve">OP-INV-018</t>
  </si>
  <si>
    <t xml:space="preserve">DEYE 1P 6KW HYBRID 18/18A</t>
  </si>
  <si>
    <t xml:space="preserve">Deye; 6 kW; MPPT 18/18A</t>
  </si>
  <si>
    <t xml:space="preserve">OP-INV-019</t>
  </si>
  <si>
    <t xml:space="preserve">DEYE 1P 18KW HYBRID 36/36/36A</t>
  </si>
  <si>
    <t xml:space="preserve">Deye; 18 kW; MPPT 36/36/36A</t>
  </si>
  <si>
    <t xml:space="preserve">OP-INV-020</t>
  </si>
  <si>
    <t xml:space="preserve">DEYE 1P 8KW HYBRID 36/18/18A</t>
  </si>
  <si>
    <t xml:space="preserve">Deye; 8 kW; MPPT 36/18/18A</t>
  </si>
  <si>
    <t xml:space="preserve">OP-INV-021</t>
  </si>
  <si>
    <t xml:space="preserve">DEYE 1P 10KW HYBRID 36/18/18A</t>
  </si>
  <si>
    <t xml:space="preserve">Deye; 10 kW; MPPT 36/18/18A</t>
  </si>
  <si>
    <t xml:space="preserve">OP-INV-022</t>
  </si>
  <si>
    <t xml:space="preserve">DEYE 1P 16KW HYBRID 36/36/36A</t>
  </si>
  <si>
    <t xml:space="preserve">Deye; 16 kW; MPPT 36/36/36A</t>
  </si>
  <si>
    <t xml:space="preserve">OP-INV-023</t>
  </si>
  <si>
    <t xml:space="preserve">DEYE 3P400V 80kw HYBRID HV BATT</t>
  </si>
  <si>
    <t xml:space="preserve">Deye; 80 kW; 400V; HV battery</t>
  </si>
  <si>
    <t xml:space="preserve">OP-INV-024</t>
  </si>
  <si>
    <t xml:space="preserve">DEYE 3P400V 50kw HYBRID HV BATT</t>
  </si>
  <si>
    <t xml:space="preserve">Deye; 50 kW; 400V; HV battery</t>
  </si>
  <si>
    <t xml:space="preserve">OP-INV-025</t>
  </si>
  <si>
    <t xml:space="preserve">DEYE 3P 70kw LV HYBRID HV BATT</t>
  </si>
  <si>
    <t xml:space="preserve">Deye; 70 kW; HV battery</t>
  </si>
  <si>
    <t xml:space="preserve">OP-INV-026</t>
  </si>
  <si>
    <t xml:space="preserve">DEYE 3P400V 20kw HYBRID LV BATT</t>
  </si>
  <si>
    <t xml:space="preserve">Deye; 20 kW; 400V; LV battery</t>
  </si>
  <si>
    <t xml:space="preserve">OP-INV-027</t>
  </si>
  <si>
    <t xml:space="preserve">DEYE 3P400V 12kw HYBRID LV BATT</t>
  </si>
  <si>
    <t xml:space="preserve">Deye; 12 kW; 400V; LV battery</t>
  </si>
  <si>
    <t xml:space="preserve">OP-INV-028</t>
  </si>
  <si>
    <t xml:space="preserve">DEYE 3P 30kw LV HYBRID HV BATT</t>
  </si>
  <si>
    <t xml:space="preserve">Deye; 30 kW; HV battery</t>
  </si>
  <si>
    <t xml:space="preserve">OP-INV-029</t>
  </si>
  <si>
    <t xml:space="preserve">48V6000W OS WALL TYPE</t>
  </si>
  <si>
    <t xml:space="preserve">One Solar; 6 kW; Off-grid</t>
  </si>
  <si>
    <t xml:space="preserve">OP-INV-030</t>
  </si>
  <si>
    <t xml:space="preserve">24V3000W OS WALL TYPE</t>
  </si>
  <si>
    <t xml:space="preserve">One Solar; 3 kW; Off-grid</t>
  </si>
  <si>
    <t xml:space="preserve">OP-INV-031</t>
  </si>
  <si>
    <t xml:space="preserve">48V6000W HYBRID OFF-GRID 80A</t>
  </si>
  <si>
    <t xml:space="preserve">One Solar; 6 kW</t>
  </si>
  <si>
    <t xml:space="preserve">OP-INV-032</t>
  </si>
  <si>
    <t xml:space="preserve">12V1000W OS WALL TYPE</t>
  </si>
  <si>
    <t xml:space="preserve">One Solar; 1 kW; Off-grid</t>
  </si>
  <si>
    <t xml:space="preserve">OP-INV-033</t>
  </si>
  <si>
    <t xml:space="preserve">24V3000W HYBRID OFF-GRID 60A</t>
  </si>
  <si>
    <t xml:space="preserve">One Solar; 3 kW</t>
  </si>
  <si>
    <t xml:space="preserve">OP-INV-034</t>
  </si>
  <si>
    <t xml:space="preserve">12V1200W HYBRID OFF-GRID 40A</t>
  </si>
  <si>
    <t xml:space="preserve">One Solar; 1.2 kW</t>
  </si>
  <si>
    <t xml:space="preserve">BC-BAT-001</t>
  </si>
  <si>
    <t xml:space="preserve">Battery</t>
  </si>
  <si>
    <t xml:space="preserve">LiFePO4 25.6V 200Ah (5.12 kWh)</t>
  </si>
  <si>
    <t xml:space="preserve">BCT-V-24-200, 614x507x212 mm</t>
  </si>
  <si>
    <t xml:space="preserve">kWh</t>
  </si>
  <si>
    <t xml:space="preserve">Volume: datasheet package; weight Est.</t>
  </si>
  <si>
    <t xml:space="preserve">24V systems only</t>
  </si>
  <si>
    <t xml:space="preserve">BC-BAT-002</t>
  </si>
  <si>
    <t xml:space="preserve">LiFePO4 51.2V 100Ah smart BMS (5.12 kWh)</t>
  </si>
  <si>
    <t xml:space="preserve">SMART-BCT-V-48-100</t>
  </si>
  <si>
    <t xml:space="preserve">BC-BAT-003</t>
  </si>
  <si>
    <t xml:space="preserve">LiFePO4 51.2V 200Ah smart BMS (10.24 kWh)</t>
  </si>
  <si>
    <t xml:space="preserve">SMART-BCT-V-48-200(P), 1218x507x212 mm</t>
  </si>
  <si>
    <t xml:space="preserve">CHECK: continuous current 100A on the 200P datasheet (about 5 kW), 120A on the combined sheet. Warranty 5 yrs (datasheet) vs 10 yrs (price list)</t>
  </si>
  <si>
    <t xml:space="preserve">BC-BAT-004</t>
  </si>
  <si>
    <t xml:space="preserve">LiFePO4 51.2V 300Ah smart BMS (15.36 kWh)</t>
  </si>
  <si>
    <t xml:space="preserve">SMART-BCT-V-48-300(P), 1218x507x212 mm</t>
  </si>
  <si>
    <t xml:space="preserve">CHECK: continuous current 100A (about 5 kW) - an 8-12 kW inverter needs 2 or more packs in parallel to run at full power from the battery. Cheapest per kWh on this list</t>
  </si>
  <si>
    <t xml:space="preserve">FS-BAT-001</t>
  </si>
  <si>
    <t xml:space="preserve">LiFePO4 51.2V 100Ah (5.12 kWh), FLA wall/floor</t>
  </si>
  <si>
    <t xml:space="preserve">FLA48100, 663x400x178 mm</t>
  </si>
  <si>
    <t xml:space="preserve">Brochure: package</t>
  </si>
  <si>
    <t xml:space="preserve">Continuous 100A (5 kW). 7-yr warranty</t>
  </si>
  <si>
    <t xml:space="preserve">FS-BAT-002</t>
  </si>
  <si>
    <t xml:space="preserve">LiFePO4 51.2V 200Ah (10 kWh), FLA wall/floor</t>
  </si>
  <si>
    <t xml:space="preserve">FLA48200, 735x433x188 mm</t>
  </si>
  <si>
    <t xml:space="preserve">10 kWh per brochure (list says "10KW"). Continuous 120A (6 kW). 7-yr warranty</t>
  </si>
  <si>
    <t xml:space="preserve">FS-BAT-003</t>
  </si>
  <si>
    <t xml:space="preserve">LiFePO4 51.2V 300Ah (15 kWh), FLA floor</t>
  </si>
  <si>
    <t xml:space="preserve">FLA48300 (brochure FLA48300TG2), 435x880x247 mm</t>
  </si>
  <si>
    <t xml:space="preserve">15 kWh (list says "15KW"). Continuous 160A (8 kW). 7-yr warranty</t>
  </si>
  <si>
    <t xml:space="preserve">FS-BAT-004</t>
  </si>
  <si>
    <t xml:space="preserve">LiFePO4 51.2V 500Ah (25 kWh), FLA floor</t>
  </si>
  <si>
    <t xml:space="preserve">FLA48500 (brochure FLA48500TG2), 570x250x980 mm</t>
  </si>
  <si>
    <t xml:space="preserve">25 kWh (list says "25KW"). Continuous 250A (12.5 kW). 7-yr warranty</t>
  </si>
  <si>
    <t xml:space="preserve">FS-BAT-005</t>
  </si>
  <si>
    <t xml:space="preserve">LiFePO4 51.2V 100Ah (5.12 kWh), FLB IP65</t>
  </si>
  <si>
    <t xml:space="preserve">FLB48100WG1, 650x450x174 mm</t>
  </si>
  <si>
    <t xml:space="preserve">Continuous 100A. IP65. 10-yr warranty</t>
  </si>
  <si>
    <t xml:space="preserve">LiFePO4 51.2V 230Ah (11.7 kWh), FLB IP65</t>
  </si>
  <si>
    <t xml:space="preserve">FLB48230WG1, 683x450x258 mm</t>
  </si>
  <si>
    <t xml:space="preserve">Continuous 150A (7.7 kW). IP65. 10-yr warranty. Closest match to the 11.8 kWh battery in the packages</t>
  </si>
  <si>
    <t xml:space="preserve">FS-BAT-007</t>
  </si>
  <si>
    <t xml:space="preserve">LiFePO4 51.2V 314Ah (16 kWh), FLB IP65</t>
  </si>
  <si>
    <t xml:space="preserve">FLB48314TG1, 895x450x235 mm</t>
  </si>
  <si>
    <t xml:space="preserve">Continuous 160A (8 kW). IP65, 8,000 cycles. 10-yr warranty</t>
  </si>
  <si>
    <t xml:space="preserve">FS-BAT-008</t>
  </si>
  <si>
    <t xml:space="preserve">High-voltage battery controller module, 51.2V 100Ah</t>
  </si>
  <si>
    <t xml:space="preserve">FLH48100UCG2, 482.6x565x150 mm</t>
  </si>
  <si>
    <t xml:space="preserve">For the 50 kW high-voltage system (5-16 modules in series). 10-yr warranty</t>
  </si>
  <si>
    <t xml:space="preserve">FS-BAT-009</t>
  </si>
  <si>
    <t xml:space="preserve">High-voltage battery module (slave), 51.2V 100Ah</t>
  </si>
  <si>
    <t xml:space="preserve">FLH48100UMG2, 482.6x565x133 mm</t>
  </si>
  <si>
    <t xml:space="preserve">10-yr warranty</t>
  </si>
  <si>
    <t xml:space="preserve">FS-BAT-010</t>
  </si>
  <si>
    <t xml:space="preserve">Battery rack, 13-tier (high-voltage)</t>
  </si>
  <si>
    <t xml:space="preserve">FLH48100 13-tier rack, 590x532x2088 mm</t>
  </si>
  <si>
    <t xml:space="preserve">Sheet metal; not covered by warranty. Priced in the battery tier as part of the battery system</t>
  </si>
  <si>
    <t xml:space="preserve">FS-BAT-011</t>
  </si>
  <si>
    <t xml:space="preserve">Battery rack, 9-tier (high-voltage)</t>
  </si>
  <si>
    <t xml:space="preserve">FLH48100 9-tier rack, 590x532x1516 mm</t>
  </si>
  <si>
    <t xml:space="preserve">Sheet metal; not covered by warranty</t>
  </si>
  <si>
    <t xml:space="preserve">IAN-BAT-001</t>
  </si>
  <si>
    <t xml:space="preserve">PYLONTECH RV12200 12V 200AH</t>
  </si>
  <si>
    <t xml:space="preserve">Pylontech; 12 V; 200 Ah; 2.4 kWh</t>
  </si>
  <si>
    <t xml:space="preserve">IAN-BAT-002</t>
  </si>
  <si>
    <t xml:space="preserve">DYNESS POWERBRICK SC 51.2V 314AH 16.076kWh IP20 SCREEN</t>
  </si>
  <si>
    <t xml:space="preserve">Dyness; 51.2 V; 314 Ah; 16.076 kWh; IP20</t>
  </si>
  <si>
    <t xml:space="preserve">IAN-BAT-003</t>
  </si>
  <si>
    <t xml:space="preserve">DYNESS POWERBRICK MAX 51.2V 314AH 16.076kWh IP20</t>
  </si>
  <si>
    <t xml:space="preserve">IAN-BAT-004</t>
  </si>
  <si>
    <t xml:space="preserve">PYLONTECH FIDUS PLUS FB-L-16-0110 16kWh IP65</t>
  </si>
  <si>
    <t xml:space="preserve">Pylontech; 16 kWh; IP65</t>
  </si>
  <si>
    <t xml:space="preserve">IAN-BAT-005</t>
  </si>
  <si>
    <t xml:space="preserve">DYNESS POWERBRICK PLUS 51.2V 314AH 16.076kWh IP65</t>
  </si>
  <si>
    <t xml:space="preserve">Dyness; 51.2 V; 314 Ah; 16.076 kWh; IP65</t>
  </si>
  <si>
    <t xml:space="preserve">IAN-BAT-006</t>
  </si>
  <si>
    <t xml:space="preserve">PYLONTECH FB-L-5.12 51.2V 100AH 5.12kWh IP65</t>
  </si>
  <si>
    <t xml:space="preserve">Pylontech; 51.2 V; 100 Ah; 5.12 kWh; IP65</t>
  </si>
  <si>
    <t xml:space="preserve">IAN-BAT-007</t>
  </si>
  <si>
    <t xml:space="preserve">SOLIS INTELLIHOUSE 16kWh IP66</t>
  </si>
  <si>
    <t xml:space="preserve">Solis; 16 kWh; IP66</t>
  </si>
  <si>
    <t xml:space="preserve">IAN-BAT-008</t>
  </si>
  <si>
    <t xml:space="preserve">DYNESS DL5.0C 51.2V 100AH IP20</t>
  </si>
  <si>
    <t xml:space="preserve">Dyness; 51.2 V; 100 Ah; 5.12 kWh; IP20</t>
  </si>
  <si>
    <t xml:space="preserve">IAN-BAT-009</t>
  </si>
  <si>
    <t xml:space="preserve">DYNESS DL5.0F 51.2V 100AH IP20</t>
  </si>
  <si>
    <t xml:space="preserve">IAN-BAT-010</t>
  </si>
  <si>
    <t xml:space="preserve">PYLONTECH PELIO 48V 100AH</t>
  </si>
  <si>
    <t xml:space="preserve">Pylontech; 48 V; 100 Ah; 4.8 kWh</t>
  </si>
  <si>
    <t xml:space="preserve">IAN-BAT-011</t>
  </si>
  <si>
    <t xml:space="preserve">PYLONTECH H32148-C HV (per kWh, min 8 modules)</t>
  </si>
  <si>
    <t xml:space="preserve">Pylontech; 1 kWh; 4.74 kWh/module, min 37.92 kWh</t>
  </si>
  <si>
    <t xml:space="preserve">List module (4.74 kWh, 52 kg) per kWh</t>
  </si>
  <si>
    <t xml:space="preserve">OP-BAT-001</t>
  </si>
  <si>
    <t xml:space="preserve">LIPO4 12V120AH</t>
  </si>
  <si>
    <t xml:space="preserve">One Solar; 12 V; 120 Ah; 1.44 kWh</t>
  </si>
  <si>
    <t xml:space="preserve">OP-BAT-002</t>
  </si>
  <si>
    <t xml:space="preserve">LIPO4 12V320AH</t>
  </si>
  <si>
    <t xml:space="preserve">One Solar; 12 V; 320 Ah; 3.84 kWh</t>
  </si>
  <si>
    <t xml:space="preserve">OP-BAT-003</t>
  </si>
  <si>
    <t xml:space="preserve">HIGEE 25.6V280AH</t>
  </si>
  <si>
    <t xml:space="preserve">Higee; 25.6 V; 280 Ah; 7.17 kWh</t>
  </si>
  <si>
    <t xml:space="preserve">OP-BAT-004</t>
  </si>
  <si>
    <t xml:space="preserve">LIPO4 51.2V 314AH - 16kWH - IP65</t>
  </si>
  <si>
    <t xml:space="preserve">One Solar; 51.2 V; 314 Ah; 16 kWh; IP65; ~16.1 kWh</t>
  </si>
  <si>
    <t xml:space="preserve">OP-BAT-005</t>
  </si>
  <si>
    <t xml:space="preserve">HITHIUM 51.2V 587AH - 30kWh</t>
  </si>
  <si>
    <t xml:space="preserve">Hithium; 51.2 V; 587 Ah; 30 kWh; ~30 kWh</t>
  </si>
  <si>
    <t xml:space="preserve">OP-BAT-006</t>
  </si>
  <si>
    <t xml:space="preserve">DEYE 51.2V 314AH - 16kWh</t>
  </si>
  <si>
    <t xml:space="preserve">Deye; 51.2 V; 314 Ah; 16 kWh; ~16.1 kWh</t>
  </si>
  <si>
    <t xml:space="preserve">OP-BAT-007</t>
  </si>
  <si>
    <t xml:space="preserve">LIPO4 51.2V 230AH - JK</t>
  </si>
  <si>
    <t xml:space="preserve">JK (One Solar); 51.2 V; 230 Ah; 11.78 kWh; ~11.8 kWh</t>
  </si>
  <si>
    <t xml:space="preserve">OP-BAT-008</t>
  </si>
  <si>
    <t xml:space="preserve">LIPO4 51.2V 120AH - JK</t>
  </si>
  <si>
    <t xml:space="preserve">JK (One Solar); 51.2 V; 120 Ah; 6.14 kWh; ~6.1 kWh</t>
  </si>
  <si>
    <t xml:space="preserve">OP-BAT-009</t>
  </si>
  <si>
    <t xml:space="preserve">DEYE HV 16X314AH = 257kWh</t>
  </si>
  <si>
    <t xml:space="preserve">Deye; 314 Ah; 257 kWh</t>
  </si>
  <si>
    <t xml:space="preserve">set</t>
  </si>
  <si>
    <t xml:space="preserve">List (cabinet set)</t>
  </si>
  <si>
    <t xml:space="preserve">OP-BAT-010</t>
  </si>
  <si>
    <t xml:space="preserve">DEYE HV 8X314AH = 128kWh</t>
  </si>
  <si>
    <t xml:space="preserve">Deye; 314 Ah; 128 kWh</t>
  </si>
  <si>
    <t xml:space="preserve">Est. (list weight 203 kg is one module; set of 8 + controller)</t>
  </si>
  <si>
    <t xml:space="preserve">OP-BAT-011</t>
  </si>
  <si>
    <t xml:space="preserve">DEYE HV 12X100AH = 80kwh</t>
  </si>
  <si>
    <t xml:space="preserve">Deye; 100 Ah; 80 kWh</t>
  </si>
  <si>
    <t xml:space="preserve">Est. (list weight 47.5 kg is one module; set of 12 + controller)</t>
  </si>
  <si>
    <t xml:space="preserve">OP-BAT-012</t>
  </si>
  <si>
    <t xml:space="preserve">DEYE HV 8X100AH = 40kwh</t>
  </si>
  <si>
    <t xml:space="preserve">Deye; 100 Ah; 40 kWh</t>
  </si>
  <si>
    <t xml:space="preserve">Est. (list weight 49 kg is one module; set of 8 + controller)</t>
  </si>
  <si>
    <t xml:space="preserve">BC-AIO-001</t>
  </si>
  <si>
    <t xml:space="preserve">All-in-one System</t>
  </si>
  <si>
    <t xml:space="preserve">Smart Power Station, 1-phase 6.5 kW + 15 kWh</t>
  </si>
  <si>
    <t xml:space="preserve">516x215.5x1525 mm</t>
  </si>
  <si>
    <t xml:space="preserve">Dims: brochure; weight and volume Est.</t>
  </si>
  <si>
    <t xml:space="preserve">Cheaper than a 15.36 kWh battery + 6.5 kW inverter bought separately (P113,500)</t>
  </si>
  <si>
    <t xml:space="preserve">BC-AIO-002</t>
  </si>
  <si>
    <t xml:space="preserve">Smart Power Station, 1-phase 13 kW + 30 kWh</t>
  </si>
  <si>
    <t xml:space="preserve">BC-AIO-003</t>
  </si>
  <si>
    <t xml:space="preserve">Smart Power Station, 19.5 kW + 45 kWh</t>
  </si>
  <si>
    <t xml:space="preserve">Sep 7 model: 3 Phase-19.5KW+45KWHWF</t>
  </si>
  <si>
    <t xml:space="preserve">CHECK: listed as single phase, model code says 3-phase</t>
  </si>
  <si>
    <t xml:space="preserve">BC-AIO-004</t>
  </si>
  <si>
    <t xml:space="preserve">Smart Power Station, 1-phase 12 kW + 30 kWh</t>
  </si>
  <si>
    <t xml:space="preserve">BC-AIO-005</t>
  </si>
  <si>
    <t xml:space="preserve">Smart Power Station, 18 kW + 45 kWh</t>
  </si>
  <si>
    <t xml:space="preserve">Sep 7 model: 3 Phase-18KW+45KWHWF</t>
  </si>
  <si>
    <t xml:space="preserve">BC-AIO-006</t>
  </si>
  <si>
    <t xml:space="preserve">Smart Power Station, 3-phase 18 kW + 45 kWh</t>
  </si>
  <si>
    <t xml:space="preserve">3 Phase-18KW+45KWH</t>
  </si>
  <si>
    <t xml:space="preserve">BC-AIO-007</t>
  </si>
  <si>
    <t xml:space="preserve">Smart Power Station, 3-phase 18 kW + 45 kWh, no Wi-Fi</t>
  </si>
  <si>
    <t xml:space="preserve">IAN-AIO-001</t>
  </si>
  <si>
    <t xml:space="preserve">SOLIS EVERCORE 125kW + 261.2kWh SET</t>
  </si>
  <si>
    <t xml:space="preserve">Solis; Commercial</t>
  </si>
  <si>
    <t xml:space="preserve">Too heavy for our truck - supplier delivery or a bigger truck needed</t>
  </si>
  <si>
    <t xml:space="preserve">IAN-AIO-002</t>
  </si>
  <si>
    <t xml:space="preserve">SUNBYTE 1500 PORTABLE 3.584kWh</t>
  </si>
  <si>
    <t xml:space="preserve">Sunbyte; 3.584 kWh</t>
  </si>
  <si>
    <t xml:space="preserve">IAN-AIO-003</t>
  </si>
  <si>
    <t xml:space="preserve">SUNBYTE 500 PORTABLE 1.004kWh</t>
  </si>
  <si>
    <t xml:space="preserve">Sunbyte; 1.004 kWh</t>
  </si>
  <si>
    <t xml:space="preserve">Mounting</t>
  </si>
  <si>
    <t xml:space="preserve">Rail 2.4 m</t>
  </si>
  <si>
    <t xml:space="preserve">Aluminum rail</t>
  </si>
  <si>
    <t xml:space="preserve">BC-MNT-002</t>
  </si>
  <si>
    <t xml:space="preserve">Rail 1.2 m</t>
  </si>
  <si>
    <t xml:space="preserve">End clamp</t>
  </si>
  <si>
    <t xml:space="preserve">Mid clamp</t>
  </si>
  <si>
    <t xml:space="preserve">Rail splice</t>
  </si>
  <si>
    <t xml:space="preserve">L-leg (L-foot)</t>
  </si>
  <si>
    <t xml:space="preserve">IAN-MNT-001</t>
  </si>
  <si>
    <t xml:space="preserve">U-TYPE RUBBER PAD</t>
  </si>
  <si>
    <t xml:space="preserve">CHECK: listed at P1 per set; list dims/weight look like a whole box; CHECK: price P1</t>
  </si>
  <si>
    <t xml:space="preserve">IAN-MNT-002</t>
  </si>
  <si>
    <t xml:space="preserve">L-TYPE MID CLAMP 35mm</t>
  </si>
  <si>
    <t xml:space="preserve">35mm</t>
  </si>
  <si>
    <t xml:space="preserve">List net weight (gross 6.5 kg and 26x20.5x18 cm look like a box)</t>
  </si>
  <si>
    <t xml:space="preserve">IAN-MNT-003</t>
  </si>
  <si>
    <t xml:space="preserve">L-TYPE END CLAMP 35mm</t>
  </si>
  <si>
    <t xml:space="preserve">List gross weight; volume = product size +20%</t>
  </si>
  <si>
    <t xml:space="preserve">IAN-MNT-004</t>
  </si>
  <si>
    <t xml:space="preserve">U-TYPE MID CLAMP 35mm</t>
  </si>
  <si>
    <t xml:space="preserve">IAN-MNT-005</t>
  </si>
  <si>
    <t xml:space="preserve">U-TYPE END CLAMP 35mm</t>
  </si>
  <si>
    <t xml:space="preserve">Est. (list weight 0.72 kg looks like a box)</t>
  </si>
  <si>
    <t xml:space="preserve">IAN-MNT-006</t>
  </si>
  <si>
    <t xml:space="preserve">U-TYPE METAL BRACKET</t>
  </si>
  <si>
    <t xml:space="preserve">Screw, rubber pad and bolt</t>
  </si>
  <si>
    <t xml:space="preserve">Est. (list gross/net 0.665/0.063 kg disagree)</t>
  </si>
  <si>
    <t xml:space="preserve">IAN-MNT-007</t>
  </si>
  <si>
    <t xml:space="preserve">L-TYPE RAIL CONNECTOR</t>
  </si>
  <si>
    <t xml:space="preserve">IAN-MNT-008</t>
  </si>
  <si>
    <t xml:space="preserve">L-TYPE L-FOOT</t>
  </si>
  <si>
    <t xml:space="preserve">IAN-MNT-009</t>
  </si>
  <si>
    <t xml:space="preserve">U-TYPE RAIL CONNECTOR</t>
  </si>
  <si>
    <t xml:space="preserve">IAN-MNT-010</t>
  </si>
  <si>
    <t xml:space="preserve">U-TYPE TEGULA BRACKET</t>
  </si>
  <si>
    <t xml:space="preserve">Tile roof</t>
  </si>
  <si>
    <t xml:space="preserve">IAN-MNT-011</t>
  </si>
  <si>
    <t xml:space="preserve">L-TYPE RAIL 2.5m ALUMINUM</t>
  </si>
  <si>
    <t xml:space="preserve">2.5 m</t>
  </si>
  <si>
    <t xml:space="preserve">IAN-MNT-012</t>
  </si>
  <si>
    <t xml:space="preserve">U-TYPE RAIL 2.5m ALUMINUM</t>
  </si>
  <si>
    <t xml:space="preserve">IAN-MNT-013</t>
  </si>
  <si>
    <t xml:space="preserve">L-TYPE RAIL 3.5m ALUMINUM</t>
  </si>
  <si>
    <t xml:space="preserve">3.5 m</t>
  </si>
  <si>
    <t xml:space="preserve">IAN-MNT-014</t>
  </si>
  <si>
    <t xml:space="preserve">U-TYPE RAIL 3.5m ALUMINUM</t>
  </si>
  <si>
    <t xml:space="preserve">OP-MNT-001</t>
  </si>
  <si>
    <t xml:space="preserve">BR-END-CLAMP-35MM</t>
  </si>
  <si>
    <t xml:space="preserve">35mm; Bracket</t>
  </si>
  <si>
    <t xml:space="preserve">OP-MNT-002</t>
  </si>
  <si>
    <t xml:space="preserve">BR-MID-CLAMP</t>
  </si>
  <si>
    <t xml:space="preserve">Bracket</t>
  </si>
  <si>
    <t xml:space="preserve">OP-MNT-003</t>
  </si>
  <si>
    <t xml:space="preserve">BR-ROOF-CLAMP</t>
  </si>
  <si>
    <t xml:space="preserve">List net weight (gross 6 kg looks like a box)</t>
  </si>
  <si>
    <t xml:space="preserve">OP-MNT-004</t>
  </si>
  <si>
    <t xml:space="preserve">BR-L-ROOF</t>
  </si>
  <si>
    <t xml:space="preserve">Est. (list 72x51x18 cm, 7.2 kg looks like a box)</t>
  </si>
  <si>
    <t xml:space="preserve">OP-MNT-005</t>
  </si>
  <si>
    <t xml:space="preserve">BR-SPLICE</t>
  </si>
  <si>
    <t xml:space="preserve">Est. (list 31x23x12 cm, 2.5 kg looks like a box)</t>
  </si>
  <si>
    <t xml:space="preserve">OP-MNT-006</t>
  </si>
  <si>
    <t xml:space="preserve">BR-TILE-ROOF</t>
  </si>
  <si>
    <t xml:space="preserve">Est. (list 120x80x100 cm, 1,135 kg is a pallet)</t>
  </si>
  <si>
    <t xml:space="preserve">OP-MNT-007</t>
  </si>
  <si>
    <t xml:space="preserve">BR-RAIL-2.4M - THICK</t>
  </si>
  <si>
    <t xml:space="preserve">2.4 m; Bracket - call for wholesale price</t>
  </si>
  <si>
    <t xml:space="preserve">Retail price ("call for wholesale")</t>
  </si>
  <si>
    <t xml:space="preserve">Wires and Terminations</t>
  </si>
  <si>
    <t xml:space="preserve">Solar cable 4mm2, red</t>
  </si>
  <si>
    <t xml:space="preserve">PV cable</t>
  </si>
  <si>
    <t xml:space="preserve">m</t>
  </si>
  <si>
    <t xml:space="preserve">100 m roll, P4,650</t>
  </si>
  <si>
    <t xml:space="preserve">Sep 7 list priced it per meter</t>
  </si>
  <si>
    <t xml:space="preserve">Solar cable 4mm2, black</t>
  </si>
  <si>
    <t xml:space="preserve">BC-WIR-003</t>
  </si>
  <si>
    <t xml:space="preserve">Solar cable 6mm2, red</t>
  </si>
  <si>
    <t xml:space="preserve">100 m roll, P6,950</t>
  </si>
  <si>
    <t xml:space="preserve">BC-WIR-004</t>
  </si>
  <si>
    <t xml:space="preserve">Solar cable 6mm2, black</t>
  </si>
  <si>
    <t xml:space="preserve">BC-WIR-005</t>
  </si>
  <si>
    <t xml:space="preserve">Battery cable AWG 4, red</t>
  </si>
  <si>
    <t xml:space="preserve">About 21 mm2</t>
  </si>
  <si>
    <t xml:space="preserve">per m</t>
  </si>
  <si>
    <t xml:space="preserve">CHECK size against the inverter battery current before use</t>
  </si>
  <si>
    <t xml:space="preserve">BC-WIR-006</t>
  </si>
  <si>
    <t xml:space="preserve">Battery cable AWG 4, black</t>
  </si>
  <si>
    <t xml:space="preserve">IAN-WIR-001</t>
  </si>
  <si>
    <t xml:space="preserve">THHN 5.5mm2 EURO WIRES (150 m box rate)</t>
  </si>
  <si>
    <t xml:space="preserve">Euro Wires; 5.5mm2; Buy by 150 m box</t>
  </si>
  <si>
    <t xml:space="preserve">150 m box rate</t>
  </si>
  <si>
    <t xml:space="preserve">List kg per meter; volume Est. (weight governs)</t>
  </si>
  <si>
    <t xml:space="preserve">IAN-WIR-002</t>
  </si>
  <si>
    <t xml:space="preserve">THHN 5.5mm2 EURO WIRES</t>
  </si>
  <si>
    <t xml:space="preserve">Euro Wires; 5.5mm2</t>
  </si>
  <si>
    <t xml:space="preserve">IAN-WIR-003</t>
  </si>
  <si>
    <t xml:space="preserve">THHN 8.0mm2 EURO WIRES (150 m box rate)</t>
  </si>
  <si>
    <t xml:space="preserve">Euro Wires; 8.0mm2</t>
  </si>
  <si>
    <t xml:space="preserve">THHN 8.0mm2 EURO WIRES</t>
  </si>
  <si>
    <t xml:space="preserve">IAN-WIR-005</t>
  </si>
  <si>
    <t xml:space="preserve">THHN 14mm2 EURO WIRES</t>
  </si>
  <si>
    <t xml:space="preserve">Euro Wires; 14mm2</t>
  </si>
  <si>
    <t xml:space="preserve">IAN-WIR-006</t>
  </si>
  <si>
    <t xml:space="preserve">THHN 22mm2 EURO WIRES (150 m box rate)</t>
  </si>
  <si>
    <t xml:space="preserve">Euro Wires; 22mm2</t>
  </si>
  <si>
    <t xml:space="preserve">IAN-WIR-007</t>
  </si>
  <si>
    <t xml:space="preserve">THHN 22mm2 EURO WIRES</t>
  </si>
  <si>
    <t xml:space="preserve">IAN-WIR-008</t>
  </si>
  <si>
    <t xml:space="preserve">THHN 30mm2 EURO WIRES (150 m box rate)</t>
  </si>
  <si>
    <t xml:space="preserve">Euro Wires; 30mm2</t>
  </si>
  <si>
    <t xml:space="preserve">IAN-WIR-009</t>
  </si>
  <si>
    <t xml:space="preserve">THHN 30mm2 EURO WIRES</t>
  </si>
  <si>
    <t xml:space="preserve">IAN-WIR-010</t>
  </si>
  <si>
    <t xml:space="preserve">JOCA BATTERY WIRE 25mm2</t>
  </si>
  <si>
    <t xml:space="preserve">JOCA; 25mm2</t>
  </si>
  <si>
    <t xml:space="preserve">IAN-WIR-011</t>
  </si>
  <si>
    <t xml:space="preserve">JOCA BATTERY WIRE 4AWG UL10269</t>
  </si>
  <si>
    <t xml:space="preserve">JOCA; 4AWG</t>
  </si>
  <si>
    <t xml:space="preserve">IAN-WIR-012</t>
  </si>
  <si>
    <t xml:space="preserve">JOCA BATTERY WIRE 50mm2</t>
  </si>
  <si>
    <t xml:space="preserve">JOCA; 50mm2</t>
  </si>
  <si>
    <t xml:space="preserve">IAN-WIR-013</t>
  </si>
  <si>
    <t xml:space="preserve">JOCA PV WIRE SINGLE 4mm2</t>
  </si>
  <si>
    <t xml:space="preserve">JOCA; 4mm2; Need 2 runs (+/-)</t>
  </si>
  <si>
    <t xml:space="preserve">IAN-WIR-014</t>
  </si>
  <si>
    <t xml:space="preserve">JOCA PV WIRE SINGLE 6mm2</t>
  </si>
  <si>
    <t xml:space="preserve">JOCA; 6mm2; Need 2 runs (+/-)</t>
  </si>
  <si>
    <t xml:space="preserve">IAN-WIR-015</t>
  </si>
  <si>
    <t xml:space="preserve">JOCA PV WIRE TWIN 4mm2</t>
  </si>
  <si>
    <t xml:space="preserve">JOCA; 4mm2</t>
  </si>
  <si>
    <t xml:space="preserve">IAN-WIR-016</t>
  </si>
  <si>
    <t xml:space="preserve">JOCA PV WIRE TWIN 6mm2</t>
  </si>
  <si>
    <t xml:space="preserve">JOCA; 6mm2</t>
  </si>
  <si>
    <t xml:space="preserve">IAN-WIR-017</t>
  </si>
  <si>
    <t xml:space="preserve">CABLE GLAND</t>
  </si>
  <si>
    <t xml:space="preserve">List grams; volume Est.</t>
  </si>
  <si>
    <t xml:space="preserve">IAN-WIR-018</t>
  </si>
  <si>
    <t xml:space="preserve">TERMINAL LUG 150A</t>
  </si>
  <si>
    <t xml:space="preserve">150A</t>
  </si>
  <si>
    <t xml:space="preserve">IAN-WIR-019</t>
  </si>
  <si>
    <t xml:space="preserve">TERMINAL LUG 200A</t>
  </si>
  <si>
    <t xml:space="preserve">200A</t>
  </si>
  <si>
    <t xml:space="preserve">IAN-WIR-020</t>
  </si>
  <si>
    <t xml:space="preserve">TERMINAL LUG 25mm</t>
  </si>
  <si>
    <t xml:space="preserve">25mm</t>
  </si>
  <si>
    <t xml:space="preserve">IAN-WIR-021</t>
  </si>
  <si>
    <t xml:space="preserve">TERMINAL LUG 35mm</t>
  </si>
  <si>
    <t xml:space="preserve">IAN-WIR-022</t>
  </si>
  <si>
    <t xml:space="preserve">TERMINAL LUG DT-16</t>
  </si>
  <si>
    <t xml:space="preserve">IAN-WIR-023</t>
  </si>
  <si>
    <t xml:space="preserve">TERMINAL LUG DT-50</t>
  </si>
  <si>
    <t xml:space="preserve">IAN-WIR-024</t>
  </si>
  <si>
    <t xml:space="preserve">TERMINAL LUG 95mm</t>
  </si>
  <si>
    <t xml:space="preserve">95mm</t>
  </si>
  <si>
    <t xml:space="preserve">IAN-WIR-025</t>
  </si>
  <si>
    <t xml:space="preserve">TERMINAL LUG DT-95</t>
  </si>
  <si>
    <t xml:space="preserve">MC4 PAIR</t>
  </si>
  <si>
    <t xml:space="preserve">30A</t>
  </si>
  <si>
    <t xml:space="preserve">pair</t>
  </si>
  <si>
    <t xml:space="preserve">IAN-WIR-027</t>
  </si>
  <si>
    <t xml:space="preserve">Y-MC4 PAIR</t>
  </si>
  <si>
    <t xml:space="preserve">IAN-WIR-028</t>
  </si>
  <si>
    <t xml:space="preserve">JOCA GROUNDING WIRE 3.5mm2</t>
  </si>
  <si>
    <t xml:space="preserve">JOCA; 3.5mm2</t>
  </si>
  <si>
    <t xml:space="preserve">IAN-WIR-029</t>
  </si>
  <si>
    <t xml:space="preserve">JOCA GROUNDING WIRE 10mm2</t>
  </si>
  <si>
    <t xml:space="preserve">JOCA; 10mm2</t>
  </si>
  <si>
    <t xml:space="preserve">IAN-WIR-030</t>
  </si>
  <si>
    <t xml:space="preserve">JOCA GROUNDING WIRE 16mm2</t>
  </si>
  <si>
    <t xml:space="preserve">JOCA; 16mm2</t>
  </si>
  <si>
    <t xml:space="preserve">OP-WIR-001</t>
  </si>
  <si>
    <t xml:space="preserve">THHN 3.5mm2</t>
  </si>
  <si>
    <t xml:space="preserve">3.5mm2</t>
  </si>
  <si>
    <t xml:space="preserve">OP-WIR-002</t>
  </si>
  <si>
    <t xml:space="preserve">THHN 5.5mm2</t>
  </si>
  <si>
    <t xml:space="preserve">5.5mm2</t>
  </si>
  <si>
    <t xml:space="preserve">OP-WIR-003</t>
  </si>
  <si>
    <t xml:space="preserve">THHN 8.0mm2</t>
  </si>
  <si>
    <t xml:space="preserve">8.0mm2</t>
  </si>
  <si>
    <t xml:space="preserve">OP-WIR-004</t>
  </si>
  <si>
    <t xml:space="preserve">25mm2 30CM Long w/ LUG</t>
  </si>
  <si>
    <t xml:space="preserve">25mm2; Battery cable</t>
  </si>
  <si>
    <t xml:space="preserve">OP-WIR-005</t>
  </si>
  <si>
    <t xml:space="preserve">16mm2 - 1M w/ LUG PAIR</t>
  </si>
  <si>
    <t xml:space="preserve">16mm2; 1 m; Battery cable</t>
  </si>
  <si>
    <t xml:space="preserve">OP-WIR-006</t>
  </si>
  <si>
    <t xml:space="preserve">25mm2 - 1M w/ LUG PAIR</t>
  </si>
  <si>
    <t xml:space="preserve">25mm2; 1 m; Battery cable</t>
  </si>
  <si>
    <t xml:space="preserve">35mm2 - 1M w/ LUG PAIR</t>
  </si>
  <si>
    <t xml:space="preserve">35mm2; 1 m; Battery cable</t>
  </si>
  <si>
    <t xml:space="preserve">OP-WIR-008</t>
  </si>
  <si>
    <t xml:space="preserve">50mm2 - 1M w/ LUG PAIR</t>
  </si>
  <si>
    <t xml:space="preserve">50mm2; 1 m; Battery cable</t>
  </si>
  <si>
    <t xml:space="preserve">OP-WIR-009</t>
  </si>
  <si>
    <t xml:space="preserve">70mm2 - 1M w/ LUG PAIR</t>
  </si>
  <si>
    <t xml:space="preserve">70mm2; 1 m; Battery cable</t>
  </si>
  <si>
    <t xml:space="preserve">OP-WIR-010</t>
  </si>
  <si>
    <t xml:space="preserve">TWIN 4mm2</t>
  </si>
  <si>
    <t xml:space="preserve">4mm2; PV cable - call for wholesale price</t>
  </si>
  <si>
    <t xml:space="preserve">OP-WIR-011</t>
  </si>
  <si>
    <t xml:space="preserve">TWIN 6mm2</t>
  </si>
  <si>
    <t xml:space="preserve">6mm2; PV cable - call for wholesale price</t>
  </si>
  <si>
    <t xml:space="preserve">OP-WIR-012</t>
  </si>
  <si>
    <t xml:space="preserve">MC4-PAIR 30A</t>
  </si>
  <si>
    <t xml:space="preserve">OP-WIR-013</t>
  </si>
  <si>
    <t xml:space="preserve">MC4-Y</t>
  </si>
  <si>
    <t xml:space="preserve">OP-WIR-014</t>
  </si>
  <si>
    <t xml:space="preserve">MC4-W</t>
  </si>
  <si>
    <t xml:space="preserve">IAN-PRT-001</t>
  </si>
  <si>
    <t xml:space="preserve">Protective Devices</t>
  </si>
  <si>
    <t xml:space="preserve">YESEIZN DC BATTERY BREAKER 125A</t>
  </si>
  <si>
    <t xml:space="preserve">Yeseizn; 125A</t>
  </si>
  <si>
    <t xml:space="preserve">IAN-PRT-002</t>
  </si>
  <si>
    <t xml:space="preserve">SUNTREE DC BATTERY BREAKER 2P 160A 500V</t>
  </si>
  <si>
    <t xml:space="preserve">Suntree; 160A; 500V; 2P</t>
  </si>
  <si>
    <t xml:space="preserve">SUNTREE DC BATTERY BREAKER 2P 250A 500V</t>
  </si>
  <si>
    <t xml:space="preserve">Suntree; 250A; 500V; 2P</t>
  </si>
  <si>
    <t xml:space="preserve">IAN-PRT-004</t>
  </si>
  <si>
    <t xml:space="preserve">YESEIZN DC BATTERY BREAKER 160A</t>
  </si>
  <si>
    <t xml:space="preserve">Yeseizn; 160A</t>
  </si>
  <si>
    <t xml:space="preserve">IAN-PRT-005</t>
  </si>
  <si>
    <t xml:space="preserve">SUNTREE DC BREAKER 2P 200A 1000V</t>
  </si>
  <si>
    <t xml:space="preserve">Suntree; 200A; 1000V; 2P</t>
  </si>
  <si>
    <t xml:space="preserve">IAN-PRT-006</t>
  </si>
  <si>
    <t xml:space="preserve">SUNTREE DC BREAKER 2P 250A 1000V</t>
  </si>
  <si>
    <t xml:space="preserve">Suntree; 250A; 1000V; 2P</t>
  </si>
  <si>
    <t xml:space="preserve">List gross weight; volume = product size +20% (packaging size smaller than product)</t>
  </si>
  <si>
    <t xml:space="preserve">IAN-PRT-007</t>
  </si>
  <si>
    <t xml:space="preserve">YESEIZN DC BATTERY BREAKER 250A</t>
  </si>
  <si>
    <t xml:space="preserve">Yeseizn; 250A</t>
  </si>
  <si>
    <t xml:space="preserve">IAN-PRT-008</t>
  </si>
  <si>
    <t xml:space="preserve">YESEIZN DC BREAKER 16A/25A</t>
  </si>
  <si>
    <t xml:space="preserve">Yeseizn; 16A; 25A</t>
  </si>
  <si>
    <t xml:space="preserve">SUNTREE DC BREAKER 2P 16A/25A 600V</t>
  </si>
  <si>
    <t xml:space="preserve">Suntree; 16A; 25A; 600V; 2P</t>
  </si>
  <si>
    <t xml:space="preserve">IAN-PRT-010</t>
  </si>
  <si>
    <t xml:space="preserve">SUNTREE DC BREAKER 2P 32A 600V</t>
  </si>
  <si>
    <t xml:space="preserve">Suntree; 32A; 600V; 2P</t>
  </si>
  <si>
    <t xml:space="preserve">IAN-PRT-011</t>
  </si>
  <si>
    <t xml:space="preserve">SUNTREE DC BREAKER 4P 16A/25A 1000V</t>
  </si>
  <si>
    <t xml:space="preserve">Suntree; 16A; 25A; 1000V; 4P</t>
  </si>
  <si>
    <t xml:space="preserve">IAN-PRT-012</t>
  </si>
  <si>
    <t xml:space="preserve">SUNTREE DC BREAKER 2P 16A/25A 1000V</t>
  </si>
  <si>
    <t xml:space="preserve">Suntree; 16A; 25A; 1000V; 2P</t>
  </si>
  <si>
    <t xml:space="preserve">IAN-PRT-013</t>
  </si>
  <si>
    <t xml:space="preserve">SUNTREE FUSE 1P 1000V 20A</t>
  </si>
  <si>
    <t xml:space="preserve">Suntree; 20A; 1000V; 1P</t>
  </si>
  <si>
    <t xml:space="preserve">IAN-PRT-014</t>
  </si>
  <si>
    <t xml:space="preserve">SUNTREE FUSE 1P 1000V 25A</t>
  </si>
  <si>
    <t xml:space="preserve">Suntree; 25A; 1000V; 1P</t>
  </si>
  <si>
    <t xml:space="preserve">IAN-PRT-015</t>
  </si>
  <si>
    <t xml:space="preserve">SUNTREE FUSE 1P 1100VDC</t>
  </si>
  <si>
    <t xml:space="preserve">Suntree; 1100V; 1P</t>
  </si>
  <si>
    <t xml:space="preserve">Est. (list gross 1.02 kg vs net 0.01 kg)</t>
  </si>
  <si>
    <t xml:space="preserve">IAN-PRT-016</t>
  </si>
  <si>
    <t xml:space="preserve">SUNTREE ISOLATOR 32A 4P 1000V</t>
  </si>
  <si>
    <t xml:space="preserve">Suntree; 32A; 1000V; 4P; DC isolator</t>
  </si>
  <si>
    <t xml:space="preserve">IAN-PRT-017</t>
  </si>
  <si>
    <t xml:space="preserve">REYUN DC SPD 1000V</t>
  </si>
  <si>
    <t xml:space="preserve">Reyun; 1000V</t>
  </si>
  <si>
    <t xml:space="preserve">SUNTREE DC SPD 2P 600V</t>
  </si>
  <si>
    <t xml:space="preserve">Suntree; 600V; 2P</t>
  </si>
  <si>
    <t xml:space="preserve">IAN-PRT-019</t>
  </si>
  <si>
    <t xml:space="preserve">SUNTREE DC SPD 3P 1000V</t>
  </si>
  <si>
    <t xml:space="preserve">Suntree; 1000V; 3P</t>
  </si>
  <si>
    <t xml:space="preserve">IAN-PRT-020</t>
  </si>
  <si>
    <t xml:space="preserve">PROJOY PEFS-PL80S-21</t>
  </si>
  <si>
    <t xml:space="preserve">Projoy</t>
  </si>
  <si>
    <t xml:space="preserve">IAN-PRT-021</t>
  </si>
  <si>
    <t xml:space="preserve">PROJOY PEFS-PCY-S-60-11</t>
  </si>
  <si>
    <t xml:space="preserve">IAN-PRT-022</t>
  </si>
  <si>
    <t xml:space="preserve">PROJOY RSD PEFS-EL40H-04-P2 (2 strings)</t>
  </si>
  <si>
    <t xml:space="preserve">IAN-PRT-023</t>
  </si>
  <si>
    <t xml:space="preserve">PROJOY RSD PEFS-EL40H-08-P2 (4 strings)</t>
  </si>
  <si>
    <t xml:space="preserve">IAN-PRT-024</t>
  </si>
  <si>
    <t xml:space="preserve">PROJOY RSD PEFS-EL40H-10-P2 (5 strings)</t>
  </si>
  <si>
    <t xml:space="preserve">IAN-PRT-025</t>
  </si>
  <si>
    <t xml:space="preserve">PROJOY RSD PEFS-EL40H-16-P2 (8 strings)</t>
  </si>
  <si>
    <t xml:space="preserve">IAN-PRT-026</t>
  </si>
  <si>
    <t xml:space="preserve">PROJOY RSD PEFS-EL40H-20-P2 (10 strings)</t>
  </si>
  <si>
    <t xml:space="preserve">SUNTREE AC BREAKER 2P 32A/63A 400V</t>
  </si>
  <si>
    <t xml:space="preserve">Suntree; 32A; 63A; 400V; 2P</t>
  </si>
  <si>
    <t xml:space="preserve">IAN-PRT-028</t>
  </si>
  <si>
    <t xml:space="preserve">DELIXI AC BREAKER 32A/63A</t>
  </si>
  <si>
    <t xml:space="preserve">Delixi; 32A; 63A</t>
  </si>
  <si>
    <t xml:space="preserve">IAN-PRT-029</t>
  </si>
  <si>
    <t xml:space="preserve">SUNTREE AC BREAKER 3P 125A</t>
  </si>
  <si>
    <t xml:space="preserve">Suntree; 125A; 3P</t>
  </si>
  <si>
    <t xml:space="preserve">IAN-PRT-030</t>
  </si>
  <si>
    <t xml:space="preserve">SUNTREE ISOLATOR 63A 4P 415V</t>
  </si>
  <si>
    <t xml:space="preserve">Suntree; 63A; 415V; 4P</t>
  </si>
  <si>
    <t xml:space="preserve">IAN-PRT-031</t>
  </si>
  <si>
    <t xml:space="preserve">SUNTREE AC SPD 1P 220V</t>
  </si>
  <si>
    <t xml:space="preserve">Suntree; 220V; 1P</t>
  </si>
  <si>
    <t xml:space="preserve">IAN-PRT-032</t>
  </si>
  <si>
    <t xml:space="preserve">SUNTREE AC SPD 1P 440V</t>
  </si>
  <si>
    <t xml:space="preserve">Suntree; 440V; 1P</t>
  </si>
  <si>
    <t xml:space="preserve">IAN-PRT-033</t>
  </si>
  <si>
    <t xml:space="preserve">SUNTREE AC SPD 1P 480V</t>
  </si>
  <si>
    <t xml:space="preserve">Suntree; 480V; 1P</t>
  </si>
  <si>
    <t xml:space="preserve">IAN-PRT-034</t>
  </si>
  <si>
    <t xml:space="preserve">REYUN AC SPD 385V</t>
  </si>
  <si>
    <t xml:space="preserve">Reyun; 385V</t>
  </si>
  <si>
    <t xml:space="preserve">SUNTREE AC SPD 2P 275V</t>
  </si>
  <si>
    <t xml:space="preserve">Suntree; 275V; 2P</t>
  </si>
  <si>
    <t xml:space="preserve">IAN-PRT-036</t>
  </si>
  <si>
    <t xml:space="preserve">SUNTREE AC SPD 2P 385V</t>
  </si>
  <si>
    <t xml:space="preserve">Suntree; 385V; 2P</t>
  </si>
  <si>
    <t xml:space="preserve">IAN-PRT-037</t>
  </si>
  <si>
    <t xml:space="preserve">SUNTREE AC SPD 3P 220V</t>
  </si>
  <si>
    <t xml:space="preserve">Suntree; 220V; 3P</t>
  </si>
  <si>
    <t xml:space="preserve">IAN-PRT-038</t>
  </si>
  <si>
    <t xml:space="preserve">SUNTREE AC SPD 3P 440V</t>
  </si>
  <si>
    <t xml:space="preserve">Suntree; 440V; 3P</t>
  </si>
  <si>
    <t xml:space="preserve">IAN-PRT-039</t>
  </si>
  <si>
    <t xml:space="preserve">SUNTREE AC SPD 3P 480V</t>
  </si>
  <si>
    <t xml:space="preserve">Suntree; 480V; 3P</t>
  </si>
  <si>
    <t xml:space="preserve">IAN-PRT-040</t>
  </si>
  <si>
    <t xml:space="preserve">REYUN AC SPD 3P 480V</t>
  </si>
  <si>
    <t xml:space="preserve">Reyun; 480V; 3P</t>
  </si>
  <si>
    <t xml:space="preserve">IAN-PRT-041</t>
  </si>
  <si>
    <t xml:space="preserve">SUNTREE ATS SQ8W-63/2P 63A</t>
  </si>
  <si>
    <t xml:space="preserve">Suntree; 63A; 2P</t>
  </si>
  <si>
    <t xml:space="preserve">IAN-PRT-042</t>
  </si>
  <si>
    <t xml:space="preserve">SANKEN ATS Q1-125LE/2P PV 125A</t>
  </si>
  <si>
    <t xml:space="preserve">Sanken; 125A; 2P</t>
  </si>
  <si>
    <t xml:space="preserve">IAN-PRT-043</t>
  </si>
  <si>
    <t xml:space="preserve">SUNTREE ATS SQ8M-125/2P 125A</t>
  </si>
  <si>
    <t xml:space="preserve">Suntree; 8 m; 125A; 2P</t>
  </si>
  <si>
    <t xml:space="preserve">IAN-PRT-044</t>
  </si>
  <si>
    <t xml:space="preserve">SUNTREE ATS SQ8M-125/4P 125A</t>
  </si>
  <si>
    <t xml:space="preserve">Suntree; 8 m; 125A; 4P</t>
  </si>
  <si>
    <t xml:space="preserve">OP-PRT-001</t>
  </si>
  <si>
    <t xml:space="preserve">DC-2P-BR-600V-80A 125A</t>
  </si>
  <si>
    <t xml:space="preserve">Suntree; 80A; 125A; 600V; 2P</t>
  </si>
  <si>
    <t xml:space="preserve">OP-PRT-002</t>
  </si>
  <si>
    <t xml:space="preserve">DC-2P-BR-600V-125A-MCCB</t>
  </si>
  <si>
    <t xml:space="preserve">Suntree; 125A; 600V; 2P</t>
  </si>
  <si>
    <t xml:space="preserve">OP-PRT-003</t>
  </si>
  <si>
    <t xml:space="preserve">DC-2P-MCCB-100V-160A</t>
  </si>
  <si>
    <t xml:space="preserve">Suntree; 160A; 100V; 2P; Battery breaker</t>
  </si>
  <si>
    <t xml:space="preserve">OP-PRT-004</t>
  </si>
  <si>
    <t xml:space="preserve">DC-2P-MCCB-100V-225A</t>
  </si>
  <si>
    <t xml:space="preserve">Suntree; 225A; 100V; 2P; Battery breaker</t>
  </si>
  <si>
    <t xml:space="preserve">OP-PRT-005</t>
  </si>
  <si>
    <t xml:space="preserve">DC-2P-MCCB-100V-320A</t>
  </si>
  <si>
    <t xml:space="preserve">Suntree; 320A; 100V; 2P; Battery breaker</t>
  </si>
  <si>
    <t xml:space="preserve">OP-PRT-006</t>
  </si>
  <si>
    <t xml:space="preserve">DC-2P-BR-550V-16A 25A - 63A</t>
  </si>
  <si>
    <t xml:space="preserve">Suntree; 16A; 25A; 63A; 550V; 2P</t>
  </si>
  <si>
    <t xml:space="preserve">OP-PRT-007</t>
  </si>
  <si>
    <t xml:space="preserve">DC-4P-1000V-32A</t>
  </si>
  <si>
    <t xml:space="preserve">Suntree; 32A; 1000V; 4P</t>
  </si>
  <si>
    <t xml:space="preserve">OP-PRT-008</t>
  </si>
  <si>
    <t xml:space="preserve">DC-3P-1500V-32A</t>
  </si>
  <si>
    <t xml:space="preserve">Suntree; 32A; 1500V; 3P</t>
  </si>
  <si>
    <t xml:space="preserve">OP-PRT-009</t>
  </si>
  <si>
    <t xml:space="preserve">DC-FUSE</t>
  </si>
  <si>
    <t xml:space="preserve">Suntree</t>
  </si>
  <si>
    <t xml:space="preserve">OP-PRT-010</t>
  </si>
  <si>
    <t xml:space="preserve">DC-4P-SISO-1000V-32A</t>
  </si>
  <si>
    <t xml:space="preserve">OP-PRT-011</t>
  </si>
  <si>
    <t xml:space="preserve">DC-2P-SPD-500V</t>
  </si>
  <si>
    <t xml:space="preserve">Suntree; 500V; 2P; Check rating vs max string Voc</t>
  </si>
  <si>
    <t xml:space="preserve">OP-PRT-012</t>
  </si>
  <si>
    <t xml:space="preserve">DC-4P-SPD</t>
  </si>
  <si>
    <t xml:space="preserve">Suntree; 4P</t>
  </si>
  <si>
    <t xml:space="preserve">OP-PRT-013</t>
  </si>
  <si>
    <t xml:space="preserve">DC T1 T2 SPD 2P - 600V</t>
  </si>
  <si>
    <t xml:space="preserve">OP-PRT-014</t>
  </si>
  <si>
    <t xml:space="preserve">DC T1 T2 SPD 3P - 1000V</t>
  </si>
  <si>
    <t xml:space="preserve">OP-PRT-015</t>
  </si>
  <si>
    <t xml:space="preserve">SUNTREE RSD 40A X 2</t>
  </si>
  <si>
    <t xml:space="preserve">Suntree; 40A; Rapid shutdown</t>
  </si>
  <si>
    <t xml:space="preserve">OP-PRT-016</t>
  </si>
  <si>
    <t xml:space="preserve">SUNTREE RSD 40A X 4</t>
  </si>
  <si>
    <t xml:space="preserve">Suntree; 40A</t>
  </si>
  <si>
    <t xml:space="preserve">OP-PRT-017</t>
  </si>
  <si>
    <t xml:space="preserve">SUNTREE RSD 40A X 6</t>
  </si>
  <si>
    <t xml:space="preserve">OP-PRT-018</t>
  </si>
  <si>
    <t xml:space="preserve">SUNTREE RSD 40A X 8</t>
  </si>
  <si>
    <t xml:space="preserve">OP-PRT-019</t>
  </si>
  <si>
    <t xml:space="preserve">SUNTREE RSD 40A X 10</t>
  </si>
  <si>
    <t xml:space="preserve">OP-PRT-020</t>
  </si>
  <si>
    <t xml:space="preserve">AC-2P-BREAKER-20A 32A 63A</t>
  </si>
  <si>
    <t xml:space="preserve">Suntree; 20A; 32A; 63A; 2P</t>
  </si>
  <si>
    <t xml:space="preserve">OP-PRT-021</t>
  </si>
  <si>
    <t xml:space="preserve">AC-4P-BREAKER-20A</t>
  </si>
  <si>
    <t xml:space="preserve">Suntree; 20A; 4P</t>
  </si>
  <si>
    <t xml:space="preserve">OP-PRT-022</t>
  </si>
  <si>
    <t xml:space="preserve">AC-2P MCCB 180A</t>
  </si>
  <si>
    <t xml:space="preserve">Suntree; 180A; 2P; Listed as 180A/225A 1500/2000</t>
  </si>
  <si>
    <t xml:space="preserve">OP-PRT-023</t>
  </si>
  <si>
    <t xml:space="preserve">AC-3P MCCB 63A</t>
  </si>
  <si>
    <t xml:space="preserve">Suntree; 63A; 3P; Listed as 63A/125A 1500/2000</t>
  </si>
  <si>
    <t xml:space="preserve">OP-PRT-024</t>
  </si>
  <si>
    <t xml:space="preserve">AC-2P MCCB 225A</t>
  </si>
  <si>
    <t xml:space="preserve">Suntree; 225A; 2P</t>
  </si>
  <si>
    <t xml:space="preserve">OP-PRT-025</t>
  </si>
  <si>
    <t xml:space="preserve">AC-3P MCCB 125A</t>
  </si>
  <si>
    <t xml:space="preserve">OP-PRT-026</t>
  </si>
  <si>
    <t xml:space="preserve">AC-3P MCCB 160A</t>
  </si>
  <si>
    <t xml:space="preserve">Suntree; 160A; 3P; Listed as 160A/250A 2500/3000</t>
  </si>
  <si>
    <t xml:space="preserve">OP-PRT-027</t>
  </si>
  <si>
    <t xml:space="preserve">AC-3P MCCB 250A</t>
  </si>
  <si>
    <t xml:space="preserve">Suntree; 250A; 3P</t>
  </si>
  <si>
    <t xml:space="preserve">OP-PRT-028</t>
  </si>
  <si>
    <t xml:space="preserve">AC-2P MCCB 300A</t>
  </si>
  <si>
    <t xml:space="preserve">Suntree; 300A; 2P</t>
  </si>
  <si>
    <t xml:space="preserve">OP-PRT-029</t>
  </si>
  <si>
    <t xml:space="preserve">AC-4P-SISO-415V32A</t>
  </si>
  <si>
    <t xml:space="preserve">Suntree; 32A; 415V; 4P</t>
  </si>
  <si>
    <t xml:space="preserve">OP-PRT-030</t>
  </si>
  <si>
    <t xml:space="preserve">AC-2P-SURGE-SPD</t>
  </si>
  <si>
    <t xml:space="preserve">Suntree; 2P</t>
  </si>
  <si>
    <t xml:space="preserve">OP-PRT-031</t>
  </si>
  <si>
    <t xml:space="preserve">AC-3P SURGE-SPD</t>
  </si>
  <si>
    <t xml:space="preserve">Suntree; 3P</t>
  </si>
  <si>
    <t xml:space="preserve">OP-PRT-032</t>
  </si>
  <si>
    <t xml:space="preserve">AC T1 T2 2P SPD 275V</t>
  </si>
  <si>
    <t xml:space="preserve">OP-PRT-033</t>
  </si>
  <si>
    <t xml:space="preserve">AC T1 T2 4P SPD 420V</t>
  </si>
  <si>
    <t xml:space="preserve">Suntree; 420V; 4P</t>
  </si>
  <si>
    <t xml:space="preserve">OP-PRT-034</t>
  </si>
  <si>
    <t xml:space="preserve">AC-2P-MTS-32A 63A 80A</t>
  </si>
  <si>
    <t xml:space="preserve">Suntree; 32A; 63A; 80A; 2P; Manual transfer switch</t>
  </si>
  <si>
    <t xml:space="preserve">AC-2P-ATS-690V-63A - MINI</t>
  </si>
  <si>
    <t xml:space="preserve">Suntree; 63A; 690V; 2P</t>
  </si>
  <si>
    <t xml:space="preserve">OP-PRT-036</t>
  </si>
  <si>
    <t xml:space="preserve">AC-2P ATS - MCCB SQ8M - 125A</t>
  </si>
  <si>
    <t xml:space="preserve">OP-PRT-037</t>
  </si>
  <si>
    <t xml:space="preserve">AC-2P ATS - MCCB SQ8M - 250A</t>
  </si>
  <si>
    <t xml:space="preserve">Suntree; 8 m; 250A; 2P</t>
  </si>
  <si>
    <t xml:space="preserve">IAN-ENC-001</t>
  </si>
  <si>
    <t xml:space="preserve">Enclosures and Raceways</t>
  </si>
  <si>
    <t xml:space="preserve">RAIL TRACK</t>
  </si>
  <si>
    <t xml:space="preserve">Est. (list weight 627 kg is an error)</t>
  </si>
  <si>
    <t xml:space="preserve">CHECK: listed as RAIL TRACK - DIN rail? length not stated</t>
  </si>
  <si>
    <t xml:space="preserve">IAN-ENC-002</t>
  </si>
  <si>
    <t xml:space="preserve">COMBINER BOX HT-5 (5 ways)</t>
  </si>
  <si>
    <t xml:space="preserve">IAN-ENC-003</t>
  </si>
  <si>
    <t xml:space="preserve">COMBINER BOX HT-8 (8 ways)</t>
  </si>
  <si>
    <t xml:space="preserve">IAN-ENC-004</t>
  </si>
  <si>
    <t xml:space="preserve">COMBINER BOX HT-18 (18 ways)</t>
  </si>
  <si>
    <t xml:space="preserve">IAN-ENC-005</t>
  </si>
  <si>
    <t xml:space="preserve">PLASTIC BOX</t>
  </si>
  <si>
    <t xml:space="preserve">IAN-ENC-006</t>
  </si>
  <si>
    <t xml:space="preserve">PLASTIC BOX 300x300x170</t>
  </si>
  <si>
    <t xml:space="preserve">IAN-ENC-007</t>
  </si>
  <si>
    <t xml:space="preserve">DISTRIBUTION BOX / METAL ENCLOSURE SET</t>
  </si>
  <si>
    <t xml:space="preserve">Incl. 1 cable tray 50x50x2000 and 1 rail track</t>
  </si>
  <si>
    <t xml:space="preserve">IAN-ENC-008</t>
  </si>
  <si>
    <t xml:space="preserve">U CLAMP M16</t>
  </si>
  <si>
    <t xml:space="preserve">Volume: list cm3; weight Est.</t>
  </si>
  <si>
    <t xml:space="preserve">IAN-ENC-009</t>
  </si>
  <si>
    <t xml:space="preserve">FLEX CONDUIT 16mm</t>
  </si>
  <si>
    <t xml:space="preserve">16mm</t>
  </si>
  <si>
    <t xml:space="preserve">Volume: list liters per meter; weight Est.</t>
  </si>
  <si>
    <t xml:space="preserve">IAN-ENC-010</t>
  </si>
  <si>
    <t xml:space="preserve">FLEX CONDUIT 25mm</t>
  </si>
  <si>
    <t xml:space="preserve">FLEX CONDUIT 32mm</t>
  </si>
  <si>
    <t xml:space="preserve">32mm</t>
  </si>
  <si>
    <t xml:space="preserve">IAN-ENC-012</t>
  </si>
  <si>
    <t xml:space="preserve">PLASTIC CABLE TRAY 50x50x2000</t>
  </si>
  <si>
    <t xml:space="preserve">Volume: list liters; weight Est.</t>
  </si>
  <si>
    <t xml:space="preserve">IAN-ENC-013</t>
  </si>
  <si>
    <t xml:space="preserve">PLASTIC CABLE TRAY 50x80x2000</t>
  </si>
  <si>
    <t xml:space="preserve">IAN-ENC-014</t>
  </si>
  <si>
    <t xml:space="preserve">PLASTIC CABLE TRAY 80x80x2000</t>
  </si>
  <si>
    <t xml:space="preserve">IAN-ENC-015</t>
  </si>
  <si>
    <t xml:space="preserve">PLASTIC CABLE TRAY 50x100x2000</t>
  </si>
  <si>
    <t xml:space="preserve">IAN-ENC-016</t>
  </si>
  <si>
    <t xml:space="preserve">FLEX CONDUIT 16mm (50 m roll)</t>
  </si>
  <si>
    <t xml:space="preserve">roll</t>
  </si>
  <si>
    <t xml:space="preserve">Volume: list liters per roll; weight Est.</t>
  </si>
  <si>
    <t xml:space="preserve">IAN-ENC-017</t>
  </si>
  <si>
    <t xml:space="preserve">FLEX CONDUIT 32mm (25 m roll)</t>
  </si>
  <si>
    <t xml:space="preserve">IAN-ENC-018</t>
  </si>
  <si>
    <t xml:space="preserve">FLEX CONDUIT 25mm (50 m roll)</t>
  </si>
  <si>
    <t xml:space="preserve">OP-ENC-001</t>
  </si>
  <si>
    <t xml:space="preserve">BATT COMBINER BOX 160A</t>
  </si>
  <si>
    <t xml:space="preserve">Suntree; 160A</t>
  </si>
  <si>
    <t xml:space="preserve">OP-ENC-002</t>
  </si>
  <si>
    <t xml:space="preserve">BATT COMBINER BOX 250A</t>
  </si>
  <si>
    <t xml:space="preserve">Suntree; 250A</t>
  </si>
  <si>
    <t xml:space="preserve">OP-ENC-003</t>
  </si>
  <si>
    <t xml:space="preserve">BATT COMBINER BOX 320A</t>
  </si>
  <si>
    <t xml:space="preserve">Suntree; 320A</t>
  </si>
  <si>
    <t xml:space="preserve">OP-ENC-004</t>
  </si>
  <si>
    <t xml:space="preserve">BATT COMBINER BOX 400A</t>
  </si>
  <si>
    <t xml:space="preserve">Suntree; 400A</t>
  </si>
  <si>
    <t xml:space="preserve">OP-ENC-005</t>
  </si>
  <si>
    <t xml:space="preserve">HT-12WAY NEW</t>
  </si>
  <si>
    <t xml:space="preserve">Suntree; Distribution box</t>
  </si>
  <si>
    <t xml:space="preserve">OP-ENC-006</t>
  </si>
  <si>
    <t xml:space="preserve">HT-18WAY NEW</t>
  </si>
  <si>
    <t xml:space="preserve">Est. (list gross 11.3 kg vs net 1.1 kg)</t>
  </si>
  <si>
    <t xml:space="preserve">METAL ENCLOSURE 50X40X20</t>
  </si>
  <si>
    <t xml:space="preserve">OP-ENC-008</t>
  </si>
  <si>
    <t xml:space="preserve">METAL ENCLOSURE 60X50X25</t>
  </si>
  <si>
    <t xml:space="preserve">Cable TRAY 60*60 - 2METER</t>
  </si>
  <si>
    <t xml:space="preserve">OP-ENC-010</t>
  </si>
  <si>
    <t xml:space="preserve">HDPE FLEXCON - 100METER 36MM</t>
  </si>
  <si>
    <t xml:space="preserve">36mm</t>
  </si>
  <si>
    <t xml:space="preserve">Grounding</t>
  </si>
  <si>
    <t xml:space="preserve">EARTH LUG</t>
  </si>
  <si>
    <t xml:space="preserve">List kg per piece; volume Est.</t>
  </si>
  <si>
    <t xml:space="preserve">IAN-GND-002</t>
  </si>
  <si>
    <t xml:space="preserve">LIGHTNING SHIELD</t>
  </si>
  <si>
    <t xml:space="preserve">CHECK: list weight unclear</t>
  </si>
  <si>
    <t xml:space="preserve">IAN-GND-003</t>
  </si>
  <si>
    <t xml:space="preserve">GROUNDING ROD AND CLAMP</t>
  </si>
  <si>
    <t xml:space="preserve">Rod length not stated - confirm</t>
  </si>
  <si>
    <t xml:space="preserve">CHECK: see Model / spec column; CHECK: rod length not stated - 1 m assumed (P500 matches a 1 m x 5/8" rod)</t>
  </si>
  <si>
    <t xml:space="preserve">GROUNDING ROD 3METER 16MM</t>
  </si>
  <si>
    <t xml:space="preserve">BC-ACC-001</t>
  </si>
  <si>
    <t xml:space="preserve">Accessories</t>
  </si>
  <si>
    <t xml:space="preserve">Wi-Fi connector (monitoring)</t>
  </si>
  <si>
    <t xml:space="preserve">For the FXC inverters</t>
  </si>
  <si>
    <t xml:space="preserve">BC-ACC-002</t>
  </si>
  <si>
    <t xml:space="preserve">Power Supportor (solar kit)</t>
  </si>
  <si>
    <t xml:space="preserve">BCT-SF1.0</t>
  </si>
  <si>
    <t xml:space="preserve">CHECK: product not identified in the files received</t>
  </si>
  <si>
    <t xml:space="preserve">IAN-ACC-001</t>
  </si>
  <si>
    <t xml:space="preserve">PYLONTECH FIDUS PLUS WHEEL</t>
  </si>
  <si>
    <t xml:space="preserve">Pylontech</t>
  </si>
  <si>
    <t xml:space="preserve">Est. (list copied the battery weight)</t>
  </si>
  <si>
    <t xml:space="preserve">IAN-ACC-002</t>
  </si>
  <si>
    <t xml:space="preserve">PYLONTECH FIDUS PLUS WALL BRACKET</t>
  </si>
  <si>
    <t xml:space="preserve">IAN-ACC-003</t>
  </si>
  <si>
    <t xml:space="preserve">PYLONTECH POWERCUBE M1C ADDITIONAL PAIR</t>
  </si>
  <si>
    <t xml:space="preserve">Est. (list weight 51 kg looks like a battery module)</t>
  </si>
  <si>
    <t xml:space="preserve">CHECK: what the "additional pair" is</t>
  </si>
  <si>
    <t xml:space="preserve">IAN-ACC-004</t>
  </si>
  <si>
    <t xml:space="preserve">PYLONTECH FIDUS CABLE SET</t>
  </si>
  <si>
    <t xml:space="preserve">IAN-ACC-005</t>
  </si>
  <si>
    <t xml:space="preserve">PYLONTECH KIT W (PELIO-L ACCESSORIES)</t>
  </si>
  <si>
    <t xml:space="preserve">IAN-ACC-006</t>
  </si>
  <si>
    <t xml:space="preserve">PYLONTECH POWERCUBE M1C KIT (10 pairs)</t>
  </si>
  <si>
    <t xml:space="preserve">IAN-ACC-007</t>
  </si>
  <si>
    <t xml:space="preserve">S3-GPRS OR WIFI-ST</t>
  </si>
  <si>
    <t xml:space="preserve">Monitoring dongle</t>
  </si>
  <si>
    <t xml:space="preserve">IAN-ACC-008</t>
  </si>
  <si>
    <t xml:space="preserve">CT CLAMP OR LIMITER SMALL 1P</t>
  </si>
  <si>
    <t xml:space="preserve">1P; 100/33.33mA</t>
  </si>
  <si>
    <t xml:space="preserve">IAN-ACC-009</t>
  </si>
  <si>
    <t xml:space="preserve">ACREL METER 1P ON-GRID</t>
  </si>
  <si>
    <t xml:space="preserve">Acrel; 1P; For 1-phase on-grid inverters (export limiting)</t>
  </si>
  <si>
    <t xml:space="preserve">IAN-ACC-010</t>
  </si>
  <si>
    <t xml:space="preserve">EASTRON SDM120CT 100mA</t>
  </si>
  <si>
    <t xml:space="preserve">Eastron</t>
  </si>
  <si>
    <t xml:space="preserve">IAN-ACC-011</t>
  </si>
  <si>
    <t xml:space="preserve">CT CLAMP 300:5A</t>
  </si>
  <si>
    <t xml:space="preserve">5A</t>
  </si>
  <si>
    <t xml:space="preserve">IAN-ACC-012</t>
  </si>
  <si>
    <t xml:space="preserve">CT CLAMP 600:5A</t>
  </si>
  <si>
    <t xml:space="preserve">IAN-ACC-013</t>
  </si>
  <si>
    <t xml:space="preserve">METER 3P DTSD1352</t>
  </si>
  <si>
    <t xml:space="preserve">3P</t>
  </si>
  <si>
    <t xml:space="preserve">IAN-ACC-014</t>
  </si>
  <si>
    <t xml:space="preserve">CT CLAMP 1500:5A</t>
  </si>
  <si>
    <t xml:space="preserve">IAN-ACC-015</t>
  </si>
  <si>
    <t xml:space="preserve">CT CLAMP 2000:5A</t>
  </si>
  <si>
    <t xml:space="preserve">IAN-ACC-016</t>
  </si>
  <si>
    <t xml:space="preserve">SOLIS-EPM1-5G EXPORT POWER MANAGER 1P</t>
  </si>
  <si>
    <t xml:space="preserve">Solis; 1P; For single-phase inverters</t>
  </si>
  <si>
    <t xml:space="preserve">IAN-ACC-017</t>
  </si>
  <si>
    <t xml:space="preserve">SOLIS-EPM3-5G-PRO EXPORT POWER MANAGER 3P</t>
  </si>
  <si>
    <t xml:space="preserve">Solis; 3P</t>
  </si>
  <si>
    <t xml:space="preserve">OP-ACC-001</t>
  </si>
  <si>
    <t xml:space="preserve">WIFI OR LIMITER</t>
  </si>
  <si>
    <t xml:space="preserve">OP-ACC-002</t>
  </si>
  <si>
    <t xml:space="preserve">EASTRON 1P w/ 1 x CT 300A</t>
  </si>
  <si>
    <t xml:space="preserve">Eastron; 300A; 1P; Smart meter for export limiting</t>
  </si>
  <si>
    <t xml:space="preserve">OP-ACC-003</t>
  </si>
  <si>
    <t xml:space="preserve">EASTRON 3P w/ 3 x CT 300A</t>
  </si>
  <si>
    <t xml:space="preserve">Eastron; 300A; 3P</t>
  </si>
  <si>
    <t xml:space="preserve">OP-ACC-004</t>
  </si>
  <si>
    <t xml:space="preserve">EASTRON 3P w/ 3 x CT 600A</t>
  </si>
  <si>
    <t xml:space="preserve">Eastron; 600A; 3P</t>
  </si>
  <si>
    <t xml:space="preserve">OP-ACC-005</t>
  </si>
  <si>
    <t xml:space="preserve">EASTRON 3P w/ 3 x CT 1000A</t>
  </si>
  <si>
    <t xml:space="preserve">Eastron; 1000A; 3P</t>
  </si>
  <si>
    <t xml:space="preserve">Consumables</t>
  </si>
  <si>
    <t xml:space="preserve">SEALANT BLACK</t>
  </si>
  <si>
    <t xml:space="preserve">Est. (no size or weight on the list)</t>
  </si>
  <si>
    <t xml:space="preserve">PL Development Inc. - Materials database</t>
  </si>
  <si>
    <t xml:space="preserve">Suppliers: Blue Carbon (Sep 19, 2026 distributor list), Felicity Solar (September 2026 list), One Point (Sep 11, 2026 Main QC list, picked up at the Alabang branch; listed as One Solar on the canvass sheet) and IAN Solar (Sep 3, 2026 list). One Point and IAN Solar sizes and weights come from the earlier canvass sheet. All four are pickup only.</t>
  </si>
  <si>
    <t xml:space="preserve">Landed cost = your six groups (freight is added once per job; the other five are per item)</t>
  </si>
  <si>
    <t xml:space="preserve">1 Base price - supplier list price, VAT-exclusive, less any dealer discount you enter in SUPPLIERS. Take the VAT invoice (12% more): PL Dev is VAT-registered, so that 12% comes back as input VAT against the output VAT on the customer invoice. Net cost = VAT-exclusive price. Without the invoice the purchase cannot be deducted for income tax.</t>
  </si>
  <si>
    <t xml:space="preserve">2 Freight - one pickup run per job in our own (shadow) truck: ownership + driver + helper per trip-day, fuel and maintenance per km, toll. Once the route is set, a trip costs the same whether the truck carries one panel or a full load, so freight is a job cost, not an item cost. The job sheet adds it as one line: trips x run cost for the suppliers that job buys from. It is NOT in the item landed cost on MATERIALS DB.</t>
  </si>
  <si>
    <t xml:space="preserve">3 Handling - own crew unloading, stockpiling and moving materials to the work face (landed cost ends where the installer picks the item up).</t>
  </si>
  <si>
    <t xml:space="preserve">4 Storage - zero while we buy per job. Enter a per-unit amount if an item is stocked.</t>
  </si>
  <si>
    <t xml:space="preserve">5 Wastage - % of net price by category (offcuts, spares, damage).</t>
  </si>
  <si>
    <t xml:space="preserve">6 Payment terms - card fees or credit charges, % of net price, per supplier.</t>
  </si>
  <si>
    <t xml:space="preserve">Freight and handling</t>
  </si>
  <si>
    <t xml:space="preserve">- Truck share per unit = the larger of (package weight / truck payload) and (package volume / cargo volume). 1 / share = how many of that item fill the truck.</t>
  </si>
  <si>
    <t xml:space="preserve">- Truck share does two things: (a) counts trips - a job whose items add up to more than one truck needs a second trip; (b) spreads handling, which does grow with the amount of material.</t>
  </si>
  <si>
    <t xml:space="preserve">- Handling per unit = handling cost of a typical 6 kW job x truck share / typical fill (the share of the truck the REF BASKET job uses). Freight markup is an input on DRIVERS.</t>
  </si>
  <si>
    <t xml:space="preserve">- The reference run is on the ROUTE sheet. Stops go in driving order: empty to the farthest supplier (Caloocan), then load on the way back south (Makati, Alabang, Santa Rosa), then the site. A supplier is on the run only if the REF BASKET buys from it, so the route, km and toll follow the basket.</t>
  </si>
  <si>
    <t xml:space="preserve">- Km between stops is Est. on ROUTE; replace with Google Maps truck-route km. Toll per leg is built from your Class 2 Skyway Stage 3 and Skyway/SLEX tables on the TOLL sheet, using the toll plaza nearest each stop.</t>
  </si>
  <si>
    <t xml:space="preserve">- The truck is a shadow truck: a pricing basis for what owning an NMR85 closed van would cost per run, not a vehicle we have. Km and toll are what that truck would run on this route; the Caloocan leg is priced on Skyway Stage 3.</t>
  </si>
  <si>
    <t xml:space="preserve">- SUPPLIERS has a "Delivers to site free" switch. All four are No (pickup only). If one ever delivers, set it to Yes: it leaves the run and its items are not counted for trips.</t>
  </si>
  <si>
    <t xml:space="preserve">Selling price per item</t>
  </si>
  <si>
    <t xml:space="preserve">- Selling price = landed cost before freight x (1 + markup tier of its category). Customer price per item = that landed cost x (1 + tier + 5% agent commission) x 1.12 VAT. Freight, labor, mob/demob and other job-level costs are added once per job on the job sheet.</t>
  </si>
  <si>
    <t xml:space="preserve">Inputs</t>
  </si>
  <si>
    <t xml:space="preserve">- Inputs are the plain values in DRIVERS, SUPPLIERS, REF BASKET and the MATERIALS DB columns marked (input). Everything else is a formula.</t>
  </si>
  <si>
    <t xml:space="preserve">- Est. marks estimates to replace: weights/volumes not in the datasheets, route km, toll, fuel economy, maintenance, handling hours, wastage.</t>
  </si>
  <si>
    <t xml:space="preserve">Labor and mob/demob (LABOR RATES, MOB-DEMOB, LABOR CALC)</t>
  </si>
  <si>
    <t xml:space="preserve">- Man-hours = takeoff quantity x man-hours per unit, calibrated to your 9.12 kWp grid-tie (16 panels, 10 kW inverter). Roof (1 skilled + 1 laborer): 4 hours panels and mounting + 2 hours wiring. Ground (team lead + 1 laborer): 4 hours mounting + 2 hours wiring, energization and commissioning. Hand-off 1 hour. Day rates include the P150 allowance: team lead P3,000, skilled P1,500, laborer P1,000.</t>
  </si>
  <si>
    <t xml:space="preserve">- Roof: 2 MH setup per job (Est.) + 0.375 MH mounting + 0.25 MH wiring per panel. Ground: my relative weights per task, split into mounting and wiring, each scaled so that job comes out at your hours. Battery and hybrid work is scaled from those weights, not measured.</t>
  </si>
  <si>
    <t xml:space="preserve">- Battery packs are carried separately: carry crew = pack weight / 32 kg per person (your practice: 4 people for a 125 kg pack; input), at least 2; man-hours = carry crew x hauling hours per pack x packs. The crew on site is never smaller than the carry crew.</t>
  </si>
  <si>
    <t xml:space="preserve">- Hybrid jobs: your 13.97 kWp hybrid (simpler roof, 2 x 125 kg packs) was roof and ground in one normal day with 4 people. LABOR RATES sets a hybrid ground pace so that job fits one 4-person day; any job with a battery or hybrid inverter uses it. Grid-tie jobs keep the 9.12 kWp pace. Typical jobs use the simple-roof factor (0.75, Est.).</t>
  </si>
  <si>
    <t xml:space="preserve">- One crew: team lead + 1 laborer on the ground work, pairs of 1 skilled + 1 laborer on the roof. Everyone is paid the whole day, so whoever finishes first moves to the other work. LABOR CALC tries 1, 2 and 3 roof pairs (4, 6 and 8 persons) and picks the cheapest that closes the roof within a day and stays within the max installation days and max pairs.</t>
  </si>
  <si>
    <t xml:space="preserve">- Because days are paid whole (pay unit on LABOR RATES), the crew is chosen on cost after rounding up, not on man-hours alone.</t>
  </si>
  <si>
    <t xml:space="preserve">- Commissioning is done by the crew within the ground work, as on your 9.12 kWp job. There is no separate commissioning visit; add your own days on site in LABOR CALC if you will be there.</t>
  </si>
  <si>
    <t xml:space="preserve">- Mob/demob = installation days x crew transport per day (company pickup: ownership per day used + km x running cost + toll) + packaging disposal. Travel time comes out of the crew's productive hours.</t>
  </si>
  <si>
    <t xml:space="preserve">- Tools: the TOOLS sheet spreads what the crew tools cost (VAT-exclusive where invoiced) over their life and the job-days a year, and LABOR CALC charges it per installation day. Heavy equipment is rented per job.</t>
  </si>
  <si>
    <t xml:space="preserve">JOB sheet (one job, start to finish)</t>
  </si>
  <si>
    <t xml:space="preserve">- Enter DB codes and quantities in the BOM. Item, supplier, landed cost before freight and markup tier fill in from MATERIALS DB.</t>
  </si>
  <si>
    <t xml:space="preserve">- Freight is worked out for the suppliers this BOM buys from (ROUTE distances and tolls), times the trips the load needs.</t>
  </si>
  <si>
    <t xml:space="preserve">- The takeoff for labor is counted from the BOM and feeds the last column of LABOR CALC; crew, days, labor, mob/demob and tools come back.</t>
  </si>
  <si>
    <t xml:space="preserve">- Other direct costs: PPE (Est. per person-day), PEE sign and seal (P1,000), LGU permit and CFEI (Est.), and the two net-metering fees when net metering is Yes. Government fees pass through at cost.</t>
  </si>
  <si>
    <t xml:space="preserve">- Price = direct cost + markup (item tiers; freight 15%; labor, mob/demob, tools, PPE and seal 30%) + 5% agent commission on direct cost, then 12% VAT. OCM/OP split the markup.</t>
  </si>
  <si>
    <t xml:space="preserve">- Close-out: type actual costs in the BOM and the Actual column; actual OP = actual gross profit - planned OCM.</t>
  </si>
  <si>
    <t xml:space="preserve">Left out (on the supplier lists but not PV job materials)</t>
  </si>
  <si>
    <t xml:space="preserve">- Blue Carbon: solar street, flood and garden lights; solar water pump kits; solar cooker, freezer and DC appliances; LED bulbs.</t>
  </si>
  <si>
    <t xml:space="preserve">- One Point: solar water pumps and solar streetlights.</t>
  </si>
  <si>
    <t xml:space="preserve">DRIVERS</t>
  </si>
  <si>
    <t xml:space="preserve">Value</t>
  </si>
  <si>
    <t xml:space="preserve">Source / remarks</t>
  </si>
  <si>
    <t xml:space="preserve">TRUCK (shadow-owned, for pricing)</t>
  </si>
  <si>
    <t xml:space="preserve">Truck basis</t>
  </si>
  <si>
    <t xml:space="preserve">Isuzu NMR85HS closed van, 14 x 6 x 6 ft box</t>
  </si>
  <si>
    <t xml:space="preserve">Your pricing basis (Sep 2026)</t>
  </si>
  <si>
    <t xml:space="preserve">Payload</t>
  </si>
  <si>
    <t xml:space="preserve">kg</t>
  </si>
  <si>
    <t xml:space="preserve">Your figure</t>
  </si>
  <si>
    <t xml:space="preserve">Cargo volume</t>
  </si>
  <si>
    <t xml:space="preserve">m3</t>
  </si>
  <si>
    <t xml:space="preserve">14 x 6 x 6 ft box</t>
  </si>
  <si>
    <t xml:space="preserve">Ownership cost per trip-day</t>
  </si>
  <si>
    <t xml:space="preserve">P</t>
  </si>
  <si>
    <t xml:space="preserve">Your computed fixed freight cost</t>
  </si>
  <si>
    <t xml:space="preserve">Driver per trip-day</t>
  </si>
  <si>
    <t xml:space="preserve">Helper per trip-day</t>
  </si>
  <si>
    <t xml:space="preserve">Diesel price</t>
  </si>
  <si>
    <t xml:space="preserve">P/L</t>
  </si>
  <si>
    <t xml:space="preserve">Your basis</t>
  </si>
  <si>
    <t xml:space="preserve">Fuel economy, loaded</t>
  </si>
  <si>
    <t xml:space="preserve">km/L</t>
  </si>
  <si>
    <t xml:space="preserve">Est. - replace with your figure</t>
  </si>
  <si>
    <t xml:space="preserve">Maintenance (tires, PMS) per km</t>
  </si>
  <si>
    <t xml:space="preserve">P/km</t>
  </si>
  <si>
    <t xml:space="preserve">Est. - replace with your PMS table</t>
  </si>
  <si>
    <t xml:space="preserve">Running cost per km</t>
  </si>
  <si>
    <t xml:space="preserve">Fuel + maintenance</t>
  </si>
  <si>
    <t xml:space="preserve">REFERENCE PICKUP RUN (Pila-area job)</t>
  </si>
  <si>
    <t xml:space="preserve">Route</t>
  </si>
  <si>
    <t xml:space="preserve">From ROUTE: follows the suppliers the REF BASKET buys from</t>
  </si>
  <si>
    <t xml:space="preserve">Loop distance</t>
  </si>
  <si>
    <t xml:space="preserve">km</t>
  </si>
  <si>
    <t xml:space="preserve">From ROUTE (Est. km between stops)</t>
  </si>
  <si>
    <t xml:space="preserve">Toll, whole run</t>
  </si>
  <si>
    <t xml:space="preserve">From ROUTE (Class 2 rates on the TOLL sheet)</t>
  </si>
  <si>
    <t xml:space="preserve">Trip-days for the run</t>
  </si>
  <si>
    <t xml:space="preserve">days</t>
  </si>
  <si>
    <t xml:space="preserve">Input. Set 2 if the stops cannot be done in one day</t>
  </si>
  <si>
    <t xml:space="preserve">Run cost (freight for one trip)</t>
  </si>
  <si>
    <t xml:space="preserve">Ownership, driver and helper per trip-day + km x running cost + toll. Fixed per trip: the same with one panel or a full load</t>
  </si>
  <si>
    <t xml:space="preserve">HANDLING</t>
  </si>
  <si>
    <t xml:space="preserve">Helper day rate (incl. meal)</t>
  </si>
  <si>
    <t xml:space="preserve">P/day</t>
  </si>
  <si>
    <t xml:space="preserve">Your rate</t>
  </si>
  <si>
    <t xml:space="preserve">Handling hours, typical 6 kW job</t>
  </si>
  <si>
    <t xml:space="preserve">helper-hours</t>
  </si>
  <si>
    <t xml:space="preserve">Est. - 2 helpers x 3 h: unload, stockpile, move to work face</t>
  </si>
  <si>
    <t xml:space="preserve">Handling cost, typical 6 kW job</t>
  </si>
  <si>
    <t xml:space="preserve">Spread per item by truck share: more material, more handling</t>
  </si>
  <si>
    <t xml:space="preserve">Typical fill of the truck (from REF BASKET)</t>
  </si>
  <si>
    <t xml:space="preserve">Share of the truck a typical 6 kW job uses; used to spread handling</t>
  </si>
  <si>
    <t xml:space="preserve">JOB-LEVEL</t>
  </si>
  <si>
    <t xml:space="preserve">Agent commission (of direct cost)</t>
  </si>
  <si>
    <t xml:space="preserve">Set Sep 30, 2026</t>
  </si>
  <si>
    <t xml:space="preserve">VAT</t>
  </si>
  <si>
    <t xml:space="preserve">Markup on freight (job line)</t>
  </si>
  <si>
    <t xml:space="preserve">Input. 15% is about what the old per-item method charged on freight through the panel and battery tiers</t>
  </si>
  <si>
    <t xml:space="preserve">CATEGORIES</t>
  </si>
  <si>
    <t xml:space="preserve">Why</t>
  </si>
  <si>
    <t xml:space="preserve">Price visible to customers, big share of cost</t>
  </si>
  <si>
    <t xml:space="preserve">Price visible, big share</t>
  </si>
  <si>
    <t xml:space="preserve">Price visible, big share; warranty handling is ours</t>
  </si>
  <si>
    <t xml:space="preserve">Inverter + battery in one unit; priced like a battery. New category - drop if not wanted</t>
  </si>
  <si>
    <t xml:space="preserve">Wastage Est.: spare clamps and screws</t>
  </si>
  <si>
    <t xml:space="preserve">Wastage Est.: offcuts</t>
  </si>
  <si>
    <t xml:space="preserve">Wastage Est.: conduit offcuts</t>
  </si>
  <si>
    <t xml:space="preserve">Wastage Est.</t>
  </si>
  <si>
    <t xml:space="preserve">SUPPLIERS</t>
  </si>
  <si>
    <t xml:space="preserve">Pickup address</t>
  </si>
  <si>
    <t xml:space="preserve">One-way km from Pila base (from ROUTE)</t>
  </si>
  <si>
    <t xml:space="preserve">Dealer discount off list (input)</t>
  </si>
  <si>
    <t xml:space="preserve">Payment fee % (input)</t>
  </si>
  <si>
    <t xml:space="preserve">Delivers to site free (input Yes/No)</t>
  </si>
  <si>
    <t xml:space="preserve">Prices</t>
  </si>
  <si>
    <t xml:space="preserve">Warranty</t>
  </si>
  <si>
    <t xml:space="preserve">Warehouse Complex, Brgy. Malitlit, Santa Rosa, Laguna</t>
  </si>
  <si>
    <t xml:space="preserve">No</t>
  </si>
  <si>
    <t xml:space="preserve">Sep 19, 2026 (previous list Sep 7, 2026)</t>
  </si>
  <si>
    <t xml:space="preserve">Distributor price (the list says so); VAT-exclusive, VAT invoice available at 12% more; local freight not included; changes announced 5 working days ahead</t>
  </si>
  <si>
    <t xml:space="preserve">Panels 25 yrs; lithium batteries 10 yrs on the price list (battery datasheets say 5 yrs); DLL hybrid inverters 5 yrs</t>
  </si>
  <si>
    <t xml:space="preserve">km Est. Payment terms and delivery offer not yet known</t>
  </si>
  <si>
    <t xml:space="preserve">Office and warehouse, Buendia, Makati (at the Skyway exit)</t>
  </si>
  <si>
    <t xml:space="preserve">VAT-exclusive; VAT invoice available at 12% more. The list is SRP: enter your discounted prices in the MATERIALS DB list price column (keep the discount here at 0), or a flat % here</t>
  </si>
  <si>
    <t xml:space="preserve">Hybrid inverters 10 yrs; off-grid 2 yrs; eco-hybrid 5 yrs; FLA batteries 7 yrs; FLB and FLH batteries 10 yrs; racks not covered</t>
  </si>
  <si>
    <t xml:space="preserve">490 EDSA, East Grace Park, Caloocan City</t>
  </si>
  <si>
    <t xml:space="preserve">VAT-exclusive; VAT invoice available at 12% more. Luzon branch price</t>
  </si>
  <si>
    <t xml:space="preserve">Not stated on the list</t>
  </si>
  <si>
    <t xml:space="preserve">Pickup only</t>
  </si>
  <si>
    <t xml:space="preserve">Alabang branch, Cupang, Muntinlupa (plus code C2HH+HV9). Tel 0981-655-9900</t>
  </si>
  <si>
    <t xml:space="preserve">Sep 11, 2026 (Main QC list)</t>
  </si>
  <si>
    <t xml:space="preserve">VAT-exclusive; VAT invoice available at 12% more. Items marked "call for wholesale" are retail prices</t>
  </si>
  <si>
    <t xml:space="preserve">Pickup only, at Alabang. Listed as One Solar (Main QC) on the canvass sheet; your sample package was priced from this list. Alabang prices are the same as Main QC (you confirmed)</t>
  </si>
  <si>
    <t xml:space="preserve">TOLL - Class 2 rates for the shadow truck (your tables). Rows = exit, columns = entry</t>
  </si>
  <si>
    <t xml:space="preserve">SKYWAY STAGE 3</t>
  </si>
  <si>
    <t xml:space="preserve">Exit \ Entry</t>
  </si>
  <si>
    <t xml:space="preserve">Buendia</t>
  </si>
  <si>
    <t xml:space="preserve">Quirino</t>
  </si>
  <si>
    <t xml:space="preserve">Plaza Dilao</t>
  </si>
  <si>
    <t xml:space="preserve">Nagtahan</t>
  </si>
  <si>
    <t xml:space="preserve">E. Rodriguez</t>
  </si>
  <si>
    <t xml:space="preserve">Quezon Ave.</t>
  </si>
  <si>
    <t xml:space="preserve">Balintawak</t>
  </si>
  <si>
    <t xml:space="preserve">--</t>
  </si>
  <si>
    <t xml:space="preserve">NLEX</t>
  </si>
  <si>
    <t xml:space="preserve">SKYWAY / SLEX</t>
  </si>
  <si>
    <t xml:space="preserve">Magallanes</t>
  </si>
  <si>
    <t xml:space="preserve">C-5</t>
  </si>
  <si>
    <t xml:space="preserve">Amorsolo</t>
  </si>
  <si>
    <t xml:space="preserve">Bicutan</t>
  </si>
  <si>
    <t xml:space="preserve">Magallanes (Skyway)</t>
  </si>
  <si>
    <t xml:space="preserve">NAIAX</t>
  </si>
  <si>
    <t xml:space="preserve">Sucat</t>
  </si>
  <si>
    <t xml:space="preserve">Alabang</t>
  </si>
  <si>
    <t xml:space="preserve">Filinvest</t>
  </si>
  <si>
    <t xml:space="preserve">MCX</t>
  </si>
  <si>
    <t xml:space="preserve">Susana Heights</t>
  </si>
  <si>
    <t xml:space="preserve">San Pedro</t>
  </si>
  <si>
    <t xml:space="preserve">Southwoods</t>
  </si>
  <si>
    <t xml:space="preserve">Carmona</t>
  </si>
  <si>
    <t xml:space="preserve">Mamplasan</t>
  </si>
  <si>
    <t xml:space="preserve">Sta. Rosa</t>
  </si>
  <si>
    <t xml:space="preserve">ABI/Greenfield</t>
  </si>
  <si>
    <t xml:space="preserve">Cabuyao</t>
  </si>
  <si>
    <t xml:space="preserve">Silangan</t>
  </si>
  <si>
    <t xml:space="preserve">Calamba</t>
  </si>
  <si>
    <t xml:space="preserve">Merville</t>
  </si>
  <si>
    <t xml:space="preserve">FREE</t>
  </si>
  <si>
    <t xml:space="preserve">Don Bosco</t>
  </si>
  <si>
    <t xml:space="preserve">ROUTE - reference pickup run for a Pila-area job</t>
  </si>
  <si>
    <t xml:space="preserve">#</t>
  </si>
  <si>
    <t xml:space="preserve">Location</t>
  </si>
  <si>
    <t xml:space="preserve">Address</t>
  </si>
  <si>
    <t xml:space="preserve">Toll plaza used</t>
  </si>
  <si>
    <t xml:space="preserve">One-way km from Pila base</t>
  </si>
  <si>
    <t xml:space="preserve">PL Development Inc., Pila, Laguna</t>
  </si>
  <si>
    <t xml:space="preserve">Calamba (SLEX)</t>
  </si>
  <si>
    <t xml:space="preserve">Balintawak (Skyway Stage 3)</t>
  </si>
  <si>
    <t xml:space="preserve">Buendia, Makati (Skyway exit)</t>
  </si>
  <si>
    <t xml:space="preserve">Buendia (Skyway)</t>
  </si>
  <si>
    <t xml:space="preserve">Alabang branch, Cupang, Muntinlupa (C2HH+HV9)</t>
  </si>
  <si>
    <t xml:space="preserve">Alabang (Skyway/SLEX)</t>
  </si>
  <si>
    <t xml:space="preserve">Sta. Rosa (SLEX)</t>
  </si>
  <si>
    <t xml:space="preserve">Pila-area site (reference job)</t>
  </si>
  <si>
    <t xml:space="preserve">ONE-WAY ROAD KM BETWEEN STOPS (Est. - replace with Google Maps truck-route km; row = from, column = to)</t>
  </si>
  <si>
    <t xml:space="preserve">TOLL PER LEG, P (Class 2, from the TOLL sheet via each stop's toll plaza; row = from, column = to)</t>
  </si>
  <si>
    <t xml:space="preserve">Balintawak to Buendia (southbound) is not on your Skyway Stage 3 table; the Buendia to Balintawak rate is used for it.</t>
  </si>
  <si>
    <t xml:space="preserve">REFERENCE RUN - stops in driving order: empty to the farthest supplier, load on the way back south along Skyway and SLEX</t>
  </si>
  <si>
    <t xml:space="preserve">Seq</t>
  </si>
  <si>
    <t xml:space="preserve">Last stop so far (location #)</t>
  </si>
  <si>
    <t xml:space="preserve">Start, truck empty</t>
  </si>
  <si>
    <t xml:space="preserve">On the run when the REF BASKET buys from this supplier</t>
  </si>
  <si>
    <t xml:space="preserve">Unload</t>
  </si>
  <si>
    <t xml:space="preserve">Return</t>
  </si>
  <si>
    <t xml:space="preserve">Loop distance and toll</t>
  </si>
  <si>
    <t xml:space="preserve">Shadow truck: these km and tolls price the run as if we owned the NMR85; they are not a plan for how we actually haul.</t>
  </si>
  <si>
    <t xml:space="preserve">REF BASKET - a typical 6 kW hybrid job: sets the typical fill (spreads handling), which suppliers the reference run visits, and shows freight as one job line</t>
  </si>
  <si>
    <t xml:space="preserve">Truck share, total</t>
  </si>
  <si>
    <t xml:space="preserve">On our truck?</t>
  </si>
  <si>
    <t xml:space="preserve">8 x 630 W panels</t>
  </si>
  <si>
    <t xml:space="preserve">6 kW hybrid inverter</t>
  </si>
  <si>
    <t xml:space="preserve">11.7 kWh battery (the packages use 11.8 kWh)</t>
  </si>
  <si>
    <t xml:space="preserve">PV wire, 30 m total</t>
  </si>
  <si>
    <t xml:space="preserve">THHN 8.0: 15 m circuits + 20 m grounding</t>
  </si>
  <si>
    <t xml:space="preserve">35 mm2 battery cable with lugs, 1 m pairs</t>
  </si>
  <si>
    <t xml:space="preserve">Cable tray</t>
  </si>
  <si>
    <t xml:space="preserve">Flex conduit 32 mm (rev2 had 36 mm HDPE)</t>
  </si>
  <si>
    <t xml:space="preserve">MC4 pairs</t>
  </si>
  <si>
    <t xml:space="preserve">PV string breakers</t>
  </si>
  <si>
    <t xml:space="preserve">DC SPD</t>
  </si>
  <si>
    <t xml:space="preserve">Battery breaker (rev2 had a 225A MCCB)</t>
  </si>
  <si>
    <t xml:space="preserve">ATS 63A</t>
  </si>
  <si>
    <t xml:space="preserve">DU disconnect, grid-inverter, inverter-load, grid-load</t>
  </si>
  <si>
    <t xml:space="preserve">One per AC breaker</t>
  </si>
  <si>
    <t xml:space="preserve">Metal enclosure 50x40x20: DC box and AC box</t>
  </si>
  <si>
    <t xml:space="preserve">Ground rod 3 m x 16 mm</t>
  </si>
  <si>
    <t xml:space="preserve">Earth lugs</t>
  </si>
  <si>
    <t xml:space="preserve">Lines follow your rev2 sample package; each from the supplier with the lower landed cost or the one you used. Change a code and the ROUTE follows.</t>
  </si>
  <si>
    <t xml:space="preserve">Truck share this job uses (typical fill)</t>
  </si>
  <si>
    <t xml:space="preserve">Trips needed</t>
  </si>
  <si>
    <t xml:space="preserve">Sum of item shares, so slightly on the safe side</t>
  </si>
  <si>
    <t xml:space="preserve">Freight for this job = trips x run cost</t>
  </si>
  <si>
    <t xml:space="preserve">Freight line selling price (with freight markup)</t>
  </si>
  <si>
    <t xml:space="preserve">LABOR RATES - crew day rates, work day, and man-hours per unit calibrated to your 9.12 kWp grid-tie job</t>
  </si>
  <si>
    <t xml:space="preserve">CREW DAY RATES (pakyaw, each includes the P150 allowance)</t>
  </si>
  <si>
    <t xml:space="preserve">Team lead (electrician)</t>
  </si>
  <si>
    <t xml:space="preserve">Your rate, incl. P150 allowance</t>
  </si>
  <si>
    <t xml:space="preserve">Skilled installer</t>
  </si>
  <si>
    <t xml:space="preserve">Laborer</t>
  </si>
  <si>
    <t xml:space="preserve">Allowance included in each rate above</t>
  </si>
  <si>
    <t xml:space="preserve">P/person-day</t>
  </si>
  <si>
    <t xml:space="preserve">For reference only; not added again</t>
  </si>
  <si>
    <t xml:space="preserve">You, if on site</t>
  </si>
  <si>
    <t xml:space="preserve">Your basis in the packages workbook (P4,850 + P150)</t>
  </si>
  <si>
    <t xml:space="preserve">WORK DAY</t>
  </si>
  <si>
    <t xml:space="preserve">Paid hours per day</t>
  </si>
  <si>
    <t xml:space="preserve">h</t>
  </si>
  <si>
    <t xml:space="preserve">Non-productive hours (toolbox talk, tool setup, end-of-day cleanup)</t>
  </si>
  <si>
    <t xml:space="preserve">Round-trip travel to site (on paid time)</t>
  </si>
  <si>
    <t xml:space="preserve">From MOB-DEMOB</t>
  </si>
  <si>
    <t xml:space="preserve">Productive hours per person-day</t>
  </si>
  <si>
    <t xml:space="preserve">Pay unit (1 = whole days, 0.5 = half days)</t>
  </si>
  <si>
    <t xml:space="preserve">day</t>
  </si>
  <si>
    <t xml:space="preserve">Input. Crews paid by the whole day: 1</t>
  </si>
  <si>
    <t xml:space="preserve">REFERENCE JOB - your 9.12 kWp grid-tie: 16 panels, 10 kW grid-tie inverter, multi-face roof, custom mounting</t>
  </si>
  <si>
    <t xml:space="preserve">Work block</t>
  </si>
  <si>
    <t xml:space="preserve">Hours (your figures)</t>
  </si>
  <si>
    <t xml:space="preserve">Man-hours</t>
  </si>
  <si>
    <t xml:space="preserve">Who</t>
  </si>
  <si>
    <t xml:space="preserve">Roof: panels and mounting</t>
  </si>
  <si>
    <t xml:space="preserve">1 skilled + 1 laborer</t>
  </si>
  <si>
    <t xml:space="preserve">Roof: wiring</t>
  </si>
  <si>
    <t xml:space="preserve">Ground: mounting (inverter, boxes, conduit, ground rod)</t>
  </si>
  <si>
    <t xml:space="preserve">Team lead + 1 laborer</t>
  </si>
  <si>
    <t xml:space="preserve">Ground: wiring, energization, commissioning</t>
  </si>
  <si>
    <t xml:space="preserve">Hand-off</t>
  </si>
  <si>
    <t xml:space="preserve">Team lead + 1 laborer (assumed)</t>
  </si>
  <si>
    <t xml:space="preserve">Panels on that job</t>
  </si>
  <si>
    <t xml:space="preserve">ROOF RATES</t>
  </si>
  <si>
    <t xml:space="preserve">Roof setup per job (part of the mounting hours)</t>
  </si>
  <si>
    <t xml:space="preserve">MH</t>
  </si>
  <si>
    <t xml:space="preserve">Est. - ladders, lifeline, layout, hauling tools up</t>
  </si>
  <si>
    <t xml:space="preserve">Mounting per panel (L-feet, rails, clamps, panel)</t>
  </si>
  <si>
    <t xml:space="preserve">MH/panel</t>
  </si>
  <si>
    <t xml:space="preserve">Wiring per panel (panel-to-panel, string runs on the roof)</t>
  </si>
  <si>
    <t xml:space="preserve">Check: 16 panels, one pair</t>
  </si>
  <si>
    <t xml:space="preserve">Should equal 6 (4 mounting + 2 wiring)</t>
  </si>
  <si>
    <t xml:space="preserve">GROUND CALIBRATION</t>
  </si>
  <si>
    <t xml:space="preserve">Mounting: weighted units of that job</t>
  </si>
  <si>
    <t xml:space="preserve">Mounting: man-hours per weighted unit</t>
  </si>
  <si>
    <t xml:space="preserve">Makes that job's ground mounting come out at your 4 hours</t>
  </si>
  <si>
    <t xml:space="preserve">Wiring: weighted units of that job</t>
  </si>
  <si>
    <t xml:space="preserve">Wiring: man-hours per weighted unit</t>
  </si>
  <si>
    <t xml:space="preserve">Makes that job's ground wiring come out at your 2 hours</t>
  </si>
  <si>
    <t xml:space="preserve">Ground task</t>
  </si>
  <si>
    <t xml:space="preserve">Mounting weight (Est.)</t>
  </si>
  <si>
    <t xml:space="preserve">Wiring weight (Est.)</t>
  </si>
  <si>
    <t xml:space="preserve">Man-hours per unit, grid-tie pace</t>
  </si>
  <si>
    <t xml:space="preserve">Your 9.12 kWp grid-tie: quantity (Est. - correct)</t>
  </si>
  <si>
    <t xml:space="preserve">Your 13.97 kWp hybrid: quantity (Est. - correct)</t>
  </si>
  <si>
    <t xml:space="preserve">Hybrid inverter</t>
  </si>
  <si>
    <t xml:space="preserve">per inverter</t>
  </si>
  <si>
    <t xml:space="preserve">Grid-tie inverter</t>
  </si>
  <si>
    <t xml:space="preserve">Battery pack: anchor and connect (carrying is separate below)</t>
  </si>
  <si>
    <t xml:space="preserve">per pack</t>
  </si>
  <si>
    <t xml:space="preserve">Enclosure (box, DIN rail, ground bar)</t>
  </si>
  <si>
    <t xml:space="preserve">per box</t>
  </si>
  <si>
    <t xml:space="preserve">Breaker, SPD or ATS</t>
  </si>
  <si>
    <t xml:space="preserve">per device</t>
  </si>
  <si>
    <t xml:space="preserve">Conduit or cable tray with supports</t>
  </si>
  <si>
    <t xml:space="preserve">Wire pull and terminate (PV home-run, THHN, grounding, battery)</t>
  </si>
  <si>
    <t xml:space="preserve">String home-run MC4</t>
  </si>
  <si>
    <t xml:space="preserve">per pair</t>
  </si>
  <si>
    <t xml:space="preserve">Ground rod: drive and bond</t>
  </si>
  <si>
    <t xml:space="preserve">per rod</t>
  </si>
  <si>
    <t xml:space="preserve">Energize and commission: per job</t>
  </si>
  <si>
    <t xml:space="preserve">per job</t>
  </si>
  <si>
    <t xml:space="preserve">Energize and commission: per inverter</t>
  </si>
  <si>
    <t xml:space="preserve">Energize and commission: per battery pack</t>
  </si>
  <si>
    <t xml:space="preserve">Check: that job's ground work</t>
  </si>
  <si>
    <t xml:space="preserve">Should equal 12 (4 + 2 hours x 2 persons)</t>
  </si>
  <si>
    <t xml:space="preserve">The weights are my estimates of how long each ground task takes relative to the others. Rows 34 and 36 scale them so your job comes out at your hours. Battery and hybrid rows are scaled, not measured: that job had neither.</t>
  </si>
  <si>
    <t xml:space="preserve">BATTERY HAULING</t>
  </si>
  <si>
    <t xml:space="preserve">Max weight carried per person</t>
  </si>
  <si>
    <t xml:space="preserve">Your practice: a 125 kg pack carried by 4 people (about 31 kg each). Common manual-handling guidance is about 25 kg per person; a battery hand truck keeps the carry within it.</t>
  </si>
  <si>
    <t xml:space="preserve">Carry crew = pack weight / max per person, rounded up, at least 2. Battery hauling man-hours = carry crew x hours per pack (LABOR CALC) x packs. The crew on site is never smaller than the carry crew.</t>
  </si>
  <si>
    <t xml:space="preserve">HYBRID REFERENCE JOB - your 13.97 kWp hybrid: 4 people, roof and ground in one normal day</t>
  </si>
  <si>
    <t xml:space="preserve">persons</t>
  </si>
  <si>
    <t xml:space="preserve">Man-hours in one day</t>
  </si>
  <si>
    <t xml:space="preserve">4 persons x one model day (row 13); the troubleshooting that day stays in</t>
  </si>
  <si>
    <t xml:space="preserve">pcs</t>
  </si>
  <si>
    <t xml:space="preserve">Assumed 22 x 635 W = 13.97 kWp</t>
  </si>
  <si>
    <t xml:space="preserve">Roof factor: simple roof</t>
  </si>
  <si>
    <t xml:space="preserve">Est. Your house roof was simpler than the 9.12 kWp job (1.00). Also the default for typical jobs in LABOR CALC</t>
  </si>
  <si>
    <t xml:space="preserve">Battery pack weight</t>
  </si>
  <si>
    <t xml:space="preserve">Roof man-hours</t>
  </si>
  <si>
    <t xml:space="preserve">Battery carry crew</t>
  </si>
  <si>
    <t xml:space="preserve">Battery hauling man-hours</t>
  </si>
  <si>
    <t xml:space="preserve">Ground work at the grid-tie pace</t>
  </si>
  <si>
    <t xml:space="preserve">Quantities in column G above</t>
  </si>
  <si>
    <t xml:space="preserve">Hybrid ground pace</t>
  </si>
  <si>
    <t xml:space="preserve">x</t>
  </si>
  <si>
    <t xml:space="preserve">Applied to ground work on any job with a battery or hybrid inverter. Makes this job fit 4 people in one day</t>
  </si>
  <si>
    <t xml:space="preserve">On paper your hybrid had more ground work than the 9.12 kWp grid-tie, yet the crew finished it in the same day. So grid-tie jobs run at the grid-tie pace and hybrid jobs at the hybrid pace, each set by your own job.</t>
  </si>
  <si>
    <t xml:space="preserve">MOB-DEMOB - getting the crew and tools to site and back</t>
  </si>
  <si>
    <t xml:space="preserve">CREW VEHICLE (company pickup, priced per day used like the shadow truck)</t>
  </si>
  <si>
    <t xml:space="preserve">Vehicle value</t>
  </si>
  <si>
    <t xml:space="preserve">Audited interim FS, Jun 1, 2026</t>
  </si>
  <si>
    <t xml:space="preserve">Life</t>
  </si>
  <si>
    <t xml:space="preserve">years</t>
  </si>
  <si>
    <t xml:space="preserve">Audited interim FS</t>
  </si>
  <si>
    <t xml:space="preserve">Insurance and registration per year</t>
  </si>
  <si>
    <t xml:space="preserve">Days used per year</t>
  </si>
  <si>
    <t xml:space="preserve">Ownership cost per day used</t>
  </si>
  <si>
    <t xml:space="preserve">From DRIVERS</t>
  </si>
  <si>
    <t xml:space="preserve">Fuel economy</t>
  </si>
  <si>
    <t xml:space="preserve">Maintenance per km</t>
  </si>
  <si>
    <t xml:space="preserve">SITE (reference: Pila-area job)</t>
  </si>
  <si>
    <t xml:space="preserve">One-way km, base to site</t>
  </si>
  <si>
    <t xml:space="preserve">From ROUTE</t>
  </si>
  <si>
    <t xml:space="preserve">Toll per round trip</t>
  </si>
  <si>
    <t xml:space="preserve">One-way travel time</t>
  </si>
  <si>
    <t xml:space="preserve">Crew transport per site day</t>
  </si>
  <si>
    <t xml:space="preserve">Ownership + round trip km x running cost + toll</t>
  </si>
  <si>
    <t xml:space="preserve">Round-trip travel time</t>
  </si>
  <si>
    <t xml:space="preserve">Comes out of the crew's productive hours (LABOR RATES)</t>
  </si>
  <si>
    <t xml:space="preserve">PER JOB</t>
  </si>
  <si>
    <t xml:space="preserve">Packaging and debris haul-out and disposal</t>
  </si>
  <si>
    <t xml:space="preserve">P/job</t>
  </si>
  <si>
    <t xml:space="preserve">Est. - pallets, panel boxes, battery crates</t>
  </si>
  <si>
    <t xml:space="preserve">Mob/demob per job = installation days x crew transport per site day + packaging disposal.</t>
  </si>
  <si>
    <t xml:space="preserve">The packages workbook used P3,500 per site day.</t>
  </si>
  <si>
    <t xml:space="preserve">Far sites: if the crew has to stay overnight, add lodging and per diem per person-night by hand.</t>
  </si>
  <si>
    <t xml:space="preserve">TOOLS - what the crew tools and test instruments cost per installation day</t>
  </si>
  <si>
    <t xml:space="preserve">ORDERS</t>
  </si>
  <si>
    <t xml:space="preserve">Order</t>
  </si>
  <si>
    <t xml:space="preserve">Store</t>
  </si>
  <si>
    <t xml:space="preserve">Merchandise subtotal</t>
  </si>
  <si>
    <t xml:space="preserve">Order total paid</t>
  </si>
  <si>
    <t xml:space="preserve">Paid / merchandise</t>
  </si>
  <si>
    <t xml:space="preserve">INGCO order</t>
  </si>
  <si>
    <t xml:space="preserve">INGCO (Shopee Mall)</t>
  </si>
  <si>
    <t xml:space="preserve">Vouchers and shipping spread over the items by value</t>
  </si>
  <si>
    <t xml:space="preserve">Ladder order</t>
  </si>
  <si>
    <t xml:space="preserve">bigredph</t>
  </si>
  <si>
    <t xml:space="preserve">Includes 2 car ramps (P7,960), not company tools. Shipping and vouchers spread by value</t>
  </si>
  <si>
    <t xml:space="preserve">MC4 crimper kit</t>
  </si>
  <si>
    <t xml:space="preserve">Shopee Choice Global</t>
  </si>
  <si>
    <t xml:space="preserve">Shipping not shown</t>
  </si>
  <si>
    <t xml:space="preserve">UNI-T order</t>
  </si>
  <si>
    <t xml:space="preserve">unitrend.ph</t>
  </si>
  <si>
    <t xml:space="preserve">Order total as shown; discount spread by value</t>
  </si>
  <si>
    <t xml:space="preserve">INGCO order 2</t>
  </si>
  <si>
    <t xml:space="preserve">UNI-T order 2</t>
  </si>
  <si>
    <t xml:space="preserve">Voucher spread by value</t>
  </si>
  <si>
    <t xml:space="preserve">WAXTRON order</t>
  </si>
  <si>
    <t xml:space="preserve">WAXTRON Brand Store PH</t>
  </si>
  <si>
    <t xml:space="preserve">Vouchers as shown on the order</t>
  </si>
  <si>
    <t xml:space="preserve">TOOLS AND TEST INSTRUMENTS</t>
  </si>
  <si>
    <t xml:space="preserve">Qty</t>
  </si>
  <si>
    <t xml:space="preserve">Price per unit (listed)</t>
  </si>
  <si>
    <t xml:space="preserve">Line total</t>
  </si>
  <si>
    <t xml:space="preserve">Paid (after vouchers, shipping)</t>
  </si>
  <si>
    <t xml:space="preserve">VAT invoice in PL Dev name? (input)</t>
  </si>
  <si>
    <t xml:space="preserve">Cost basis</t>
  </si>
  <si>
    <t xml:space="preserve">Life, years (Est.)</t>
  </si>
  <si>
    <t xml:space="preserve">Cost per year</t>
  </si>
  <si>
    <t xml:space="preserve">INGCO 20V cordless combo kit, 3 pcs</t>
  </si>
  <si>
    <t xml:space="preserve">INGCO 20V cordless angle grinder</t>
  </si>
  <si>
    <t xml:space="preserve">INGCO 20V cordless heat gun HGLI20085</t>
  </si>
  <si>
    <t xml:space="preserve">INGCO HHCT0170 hexagonal hydraulic crimper</t>
  </si>
  <si>
    <t xml:space="preserve">INGCO HKISD1201 insulated screwdriver set, 12 pcs</t>
  </si>
  <si>
    <t xml:space="preserve">INGCO HIKPS28318 insulated pliers set, 3 pcs</t>
  </si>
  <si>
    <t xml:space="preserve">INGCO HISS1601 insulated scissors</t>
  </si>
  <si>
    <t xml:space="preserve">INGCO HICK1801 insulated cable knife</t>
  </si>
  <si>
    <t xml:space="preserve">ROVER fiberglass foldable multipurpose ladder</t>
  </si>
  <si>
    <t xml:space="preserve">Solar cable connectors with crimper (MC4 kit)</t>
  </si>
  <si>
    <t xml:space="preserve">UNI-T UT219PV PV clamp meter + UT-CS09D flexible probe</t>
  </si>
  <si>
    <t xml:space="preserve">UNI-T UT381PV solar irradiance meter</t>
  </si>
  <si>
    <t xml:space="preserve">UNI-T UT673PV+ solar MPPT meter</t>
  </si>
  <si>
    <t xml:space="preserve">INGCO HPTW1425N8 1/4" preset torque wrench, 5-25 N.m</t>
  </si>
  <si>
    <t xml:space="preserve">INGCO HICCB28160 6-inch insulated cable cutter</t>
  </si>
  <si>
    <t xml:space="preserve">UNI-T UT503PV PV insulation tester</t>
  </si>
  <si>
    <t xml:space="preserve">WAXTRON digital torque screwdriver set, 1-6 N.m (39 pcs)</t>
  </si>
  <si>
    <t xml:space="preserve">TOOL CHARGE</t>
  </si>
  <si>
    <t xml:space="preserve">Repairs, bits, discs, blades, calibration per year (share of cost basis)</t>
  </si>
  <si>
    <t xml:space="preserve">Job-days per year</t>
  </si>
  <si>
    <t xml:space="preserve">Est. 4 one-day jobs a month</t>
  </si>
  <si>
    <t xml:space="preserve">Tool cost per year</t>
  </si>
  <si>
    <t xml:space="preserve">Tool charge per installation day</t>
  </si>
  <si>
    <t xml:space="preserve">VAT: request the e-invoice in PL Development Inc.'s name and TIN wherever the seller issues one; the 12% then comes back as input VAT, so cost basis is the price / 1.12. INGCO (Shopee Mall) is set to Yes; check unitrend.ph and bigredph.</t>
  </si>
  <si>
    <t xml:space="preserve">Charged on every installation day in LABOR CALC. Fewer job-days a year means a higher charge per day; the tools cost the same either way.</t>
  </si>
  <si>
    <t xml:space="preserve">Not included: the 2 car ramps.</t>
  </si>
  <si>
    <t xml:space="preserve">LABOR CALC - takeoff quantities to man-hours, crew, days, labor and mob/demob cost. Change any quantity; the crew follows</t>
  </si>
  <si>
    <t xml:space="preserve">Job</t>
  </si>
  <si>
    <t xml:space="preserve">Small grid-tie 3 kWp</t>
  </si>
  <si>
    <t xml:space="preserve">P1 5 kWp / 6 kW / 11.8 kWh</t>
  </si>
  <si>
    <t xml:space="preserve">P2 7 kWp / 8 kW / 15.4 kWh</t>
  </si>
  <si>
    <t xml:space="preserve">P3 9 kWp / 10 kW / 20.5 kWh</t>
  </si>
  <si>
    <t xml:space="preserve">P4 11 kWp / 12 kW / 20.5 kWh</t>
  </si>
  <si>
    <t xml:space="preserve">Check: your 9.12 kWp grid-tie</t>
  </si>
  <si>
    <t xml:space="preserve">Check: your 13.97 kWp hybrid (4 people, 1 day)</t>
  </si>
  <si>
    <t xml:space="preserve">This job (from the JOB sheet)</t>
  </si>
  <si>
    <t xml:space="preserve">TAKEOFF QUANTITIES (input; on the job sheet these come from the BOM)</t>
  </si>
  <si>
    <t xml:space="preserve">13.97 kWp hybrid column: 22 x 635 W assumed; its other quantities are my guesses</t>
  </si>
  <si>
    <t xml:space="preserve">Hybrid inverters</t>
  </si>
  <si>
    <t xml:space="preserve">Battery pack weight, kg</t>
  </si>
  <si>
    <t xml:space="preserve">Boxed weight from the DB (P1 JK 230Ah 110 kg; P2 Felicity 300Ah 140.5 kg; P3/P4 Felicity 200Ah 88 kg each). Use the unboxed weight if you unbox at the truck</t>
  </si>
  <si>
    <t xml:space="preserve">Est. 0.5 = ground floor, short carry from the truck; 1.0 or more upstairs or long carry</t>
  </si>
  <si>
    <t xml:space="preserve">Enclosures (metal boxes, DU box)</t>
  </si>
  <si>
    <t xml:space="preserve">Wire, m (PV, THHN, grounding, battery)</t>
  </si>
  <si>
    <t xml:space="preserve">Simple roof (LABOR RATES row 63) for typical jobs. 1.00 = your 9.12 kWp multi-face roof with custom mounting; 1.25 two-storey or steep; 1.50 clay or concrete tile (Est.)</t>
  </si>
  <si>
    <t xml:space="preserve">Input. 1 = no open roof penetrations overnight</t>
  </si>
  <si>
    <t xml:space="preserve">Input. 0 = the crew energizes and commissions, as on your 9.12 kWp job</t>
  </si>
  <si>
    <t xml:space="preserve">MAN-HOURS (quantity x LABOR RATES)</t>
  </si>
  <si>
    <t xml:space="preserve">Roof: setup + panel mounting, x roof factor</t>
  </si>
  <si>
    <t xml:space="preserve">Roof: wiring, x roof factor</t>
  </si>
  <si>
    <t xml:space="preserve">Ground pace (1.00 = grid-tie; hybrid jobs use your hybrid day)</t>
  </si>
  <si>
    <t xml:space="preserve">Persons to carry one battery pack</t>
  </si>
  <si>
    <t xml:space="preserve">Battery packs: anchor and connect</t>
  </si>
  <si>
    <t xml:space="preserve">Enclosures</t>
  </si>
  <si>
    <t xml:space="preserve">Conduit and tray</t>
  </si>
  <si>
    <t xml:space="preserve">Wire</t>
  </si>
  <si>
    <t xml:space="preserve">MC4</t>
  </si>
  <si>
    <t xml:space="preserve">Energize and commission</t>
  </si>
  <si>
    <t xml:space="preserve">Battery hauling (carry crew x hours x packs)</t>
  </si>
  <si>
    <t xml:space="preserve">Ground work man-hours</t>
  </si>
  <si>
    <t xml:space="preserve">CREW AND DAYS - one crew: team lead + 1 laborer (ground) and pairs of 1 skilled + 1 laborer (roof); everyone works the whole day</t>
  </si>
  <si>
    <t xml:space="preserve">Minimum pairs to close the roof in time</t>
  </si>
  <si>
    <t xml:space="preserve">Minimum pairs to carry a battery pack</t>
  </si>
  <si>
    <t xml:space="preserve">Crew on site = 2 + 2 x pairs, so it is never smaller than the carry crew</t>
  </si>
  <si>
    <t xml:space="preserve">Minimum pairs</t>
  </si>
  <si>
    <t xml:space="preserve">Max pairs (input)</t>
  </si>
  <si>
    <t xml:space="preserve">Input. Est.: one team lead can direct about 6 people on a house</t>
  </si>
  <si>
    <t xml:space="preserve">Option 1: 1 pair = 4 persons - days</t>
  </si>
  <si>
    <t xml:space="preserve">Option 1 - labor + crew transport</t>
  </si>
  <si>
    <t xml:space="preserve">Option 2: 2 pairs = 6 persons - days</t>
  </si>
  <si>
    <t xml:space="preserve">Option 2 - labor + crew transport</t>
  </si>
  <si>
    <t xml:space="preserve">Option 3: 3 pairs = 8 persons - days</t>
  </si>
  <si>
    <t xml:space="preserve">Option 3 - labor + crew transport</t>
  </si>
  <si>
    <t xml:space="preserve">Pairs chosen</t>
  </si>
  <si>
    <t xml:space="preserve">Cheapest option that closes the roof in time, can carry the battery, and stays within max days and max pairs; if none does, the largest allowed crew</t>
  </si>
  <si>
    <t xml:space="preserve">Hours the roof needs with these pairs</t>
  </si>
  <si>
    <t xml:space="preserve">LABOR COST</t>
  </si>
  <si>
    <t xml:space="preserve">Team lead</t>
  </si>
  <si>
    <t xml:space="preserve">Skilled installers</t>
  </si>
  <si>
    <t xml:space="preserve">Laborers</t>
  </si>
  <si>
    <t xml:space="preserve">You on site</t>
  </si>
  <si>
    <t xml:space="preserve">Total labor</t>
  </si>
  <si>
    <t xml:space="preserve">MOB/DEMOB</t>
  </si>
  <si>
    <t xml:space="preserve">Site days</t>
  </si>
  <si>
    <t xml:space="preserve">Crew transport</t>
  </si>
  <si>
    <t xml:space="preserve">Packaging disposal</t>
  </si>
  <si>
    <t xml:space="preserve">Total mob/demob</t>
  </si>
  <si>
    <t xml:space="preserve">LABOR + MOB/DEMOB</t>
  </si>
  <si>
    <t xml:space="preserve">Packages workbook (Sep 30), same lines</t>
  </si>
  <si>
    <t xml:space="preserve">Lead 1 day, skilled 1 per roof crew, helpers, commissioning day P8,000, mob/demob P3,500 x 2 days</t>
  </si>
  <si>
    <t xml:space="preserve">Difference</t>
  </si>
  <si>
    <t xml:space="preserve">TOOLS</t>
  </si>
  <si>
    <t xml:space="preserve">Tool charge (installation days x charge per day, TOOLS)</t>
  </si>
  <si>
    <t xml:space="preserve">LABOR + MOB/DEMOB + TOOLS</t>
  </si>
</sst>
</file>

<file path=xl/styles.xml><?xml version="1.0" encoding="utf-8"?>
<styleSheet xmlns="http://schemas.openxmlformats.org/spreadsheetml/2006/main">
  <numFmts count="13">
    <numFmt numFmtId="164" formatCode="General"/>
    <numFmt numFmtId="165" formatCode="0.0"/>
    <numFmt numFmtId="166" formatCode="#,##0.00"/>
    <numFmt numFmtId="167" formatCode="0%"/>
    <numFmt numFmtId="168" formatCode="0.00%"/>
    <numFmt numFmtId="169" formatCode="0.0%"/>
    <numFmt numFmtId="170" formatCode="0"/>
    <numFmt numFmtId="171" formatCode="0.00"/>
    <numFmt numFmtId="172" formatCode="0.00000"/>
    <numFmt numFmtId="173" formatCode="0.0000%"/>
    <numFmt numFmtId="174" formatCode="#,##0"/>
    <numFmt numFmtId="175" formatCode="0.000"/>
    <numFmt numFmtId="176" formatCode="0.0000"/>
  </numFmts>
  <fonts count="6">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40"/>
    <col collapsed="false" customWidth="true" hidden="false" outlineLevel="0" max="4" min="4" style="0" width="16"/>
    <col collapsed="false" customWidth="true" hidden="false" outlineLevel="0" max="6" min="5" style="0" width="18"/>
    <col collapsed="false" customWidth="true" hidden="false" outlineLevel="0" max="7" min="7" style="0" width="16"/>
    <col collapsed="false" customWidth="true" hidden="false" outlineLevel="0" max="8" min="8" style="0" width="10"/>
    <col collapsed="false" customWidth="true" hidden="false" outlineLevel="0" max="9" min="9" style="0" width="14"/>
    <col collapsed="false" customWidth="true" hidden="false" outlineLevel="0" max="10" min="10" style="0" width="12"/>
    <col collapsed="false" customWidth="true" hidden="false" outlineLevel="0" max="11" min="11" style="0" width="14"/>
    <col collapsed="false" customWidth="true" hidden="false" outlineLevel="0" max="13" min="12" style="0" width="10"/>
    <col collapsed="false" customWidth="true" hidden="false" outlineLevel="0" max="14" min="14" style="0" width="16"/>
    <col collapsed="false" customWidth="true" hidden="false" outlineLevel="0" max="15" min="15" style="0" width="14"/>
    <col collapsed="false" customWidth="true" hidden="false" outlineLevel="0" max="16" min="16" style="0" width="30"/>
    <col collapsed="false" customWidth="true" hidden="false" outlineLevel="0" max="17" min="17" style="0" width="8"/>
    <col collapsed="false" customWidth="true" hidden="false" outlineLevel="0" max="18" min="18" style="0" width="10"/>
  </cols>
  <sheetData>
    <row r="1" customFormat="false" ht="15" hidden="false" customHeight="false" outlineLevel="0" collapsed="false">
      <c r="A1" s="1" t="s">
        <v>0</v>
      </c>
    </row>
    <row r="3" customFormat="false" ht="15" hidden="false" customHeight="false" outlineLevel="0" collapsed="false">
      <c r="A3" s="2" t="s">
        <v>1</v>
      </c>
      <c r="B3" s="2" t="s">
        <v>2</v>
      </c>
    </row>
    <row r="4" customFormat="false" ht="15" hidden="false" customHeight="false" outlineLevel="0" collapsed="false">
      <c r="A4" s="2" t="s">
        <v>3</v>
      </c>
      <c r="B4" s="2"/>
    </row>
    <row r="5" customFormat="false" ht="15" hidden="false" customHeight="false" outlineLevel="0" collapsed="false">
      <c r="A5" s="2" t="s">
        <v>4</v>
      </c>
      <c r="B5" s="2" t="s">
        <v>5</v>
      </c>
    </row>
    <row r="6" customFormat="false" ht="15" hidden="false" customHeight="false" outlineLevel="0" collapsed="false">
      <c r="A6" s="2" t="s">
        <v>6</v>
      </c>
      <c r="B6" s="2"/>
    </row>
    <row r="7" customFormat="false" ht="15" hidden="false" customHeight="false" outlineLevel="0" collapsed="false">
      <c r="A7" s="2" t="s">
        <v>7</v>
      </c>
      <c r="B7" s="2" t="n">
        <v>0</v>
      </c>
      <c r="C7" s="2" t="s">
        <v>8</v>
      </c>
    </row>
    <row r="8" customFormat="false" ht="15" hidden="false" customHeight="false" outlineLevel="0" collapsed="false">
      <c r="A8" s="2" t="s">
        <v>9</v>
      </c>
      <c r="B8" s="2" t="n">
        <v>0</v>
      </c>
      <c r="C8" s="2" t="s">
        <v>10</v>
      </c>
    </row>
    <row r="9" customFormat="false" ht="15" hidden="false" customHeight="false" outlineLevel="0" collapsed="false">
      <c r="A9" s="2" t="s">
        <v>11</v>
      </c>
      <c r="B9" s="2" t="s">
        <v>12</v>
      </c>
    </row>
    <row r="10" customFormat="false" ht="15" hidden="false" customHeight="false" outlineLevel="0" collapsed="false">
      <c r="A10" s="1" t="s">
        <v>13</v>
      </c>
    </row>
    <row r="11" customFormat="false" ht="15" hidden="false" customHeight="false" outlineLevel="0" collapsed="false">
      <c r="A11" s="2" t="s">
        <v>14</v>
      </c>
      <c r="B11" s="2" t="n">
        <f aca="false">'LABOR RATES'!B63</f>
        <v>0.75</v>
      </c>
      <c r="C11" s="2" t="s">
        <v>15</v>
      </c>
    </row>
    <row r="12" customFormat="false" ht="15" hidden="false" customHeight="false" outlineLevel="0" collapsed="false">
      <c r="A12" s="2" t="s">
        <v>16</v>
      </c>
      <c r="B12" s="2" t="n">
        <v>1</v>
      </c>
      <c r="C12" s="2"/>
    </row>
    <row r="13" customFormat="false" ht="15" hidden="false" customHeight="false" outlineLevel="0" collapsed="false">
      <c r="A13" s="2" t="s">
        <v>17</v>
      </c>
      <c r="B13" s="2" t="n">
        <v>2</v>
      </c>
      <c r="C13" s="2"/>
    </row>
    <row r="14" customFormat="false" ht="15" hidden="false" customHeight="false" outlineLevel="0" collapsed="false">
      <c r="A14" s="2" t="s">
        <v>18</v>
      </c>
      <c r="B14" s="2" t="n">
        <v>2</v>
      </c>
      <c r="C14" s="2" t="s">
        <v>19</v>
      </c>
    </row>
    <row r="15" customFormat="false" ht="15" hidden="false" customHeight="false" outlineLevel="0" collapsed="false">
      <c r="A15" s="2" t="s">
        <v>20</v>
      </c>
      <c r="B15" s="2" t="n">
        <v>0.5</v>
      </c>
      <c r="C15" s="2" t="s">
        <v>21</v>
      </c>
    </row>
    <row r="16" customFormat="false" ht="15" hidden="false" customHeight="false" outlineLevel="0" collapsed="false">
      <c r="A16" s="2" t="s">
        <v>22</v>
      </c>
      <c r="B16" s="2" t="n">
        <v>0</v>
      </c>
      <c r="C16" s="2"/>
    </row>
    <row r="18" customFormat="false" ht="15" hidden="false" customHeight="false" outlineLevel="0" collapsed="false">
      <c r="A18" s="1" t="s">
        <v>23</v>
      </c>
    </row>
    <row r="19" customFormat="false" ht="15" hidden="false" customHeight="false" outlineLevel="0" collapsed="false">
      <c r="A19" s="2" t="s">
        <v>24</v>
      </c>
      <c r="B19" s="3" t="n">
        <f aca="false">SUMIF($D$33:$D$72,"Solar Panel",$B$33:$B$72)</f>
        <v>8</v>
      </c>
    </row>
    <row r="20" customFormat="false" ht="15" hidden="false" customHeight="false" outlineLevel="0" collapsed="false">
      <c r="A20" s="2" t="s">
        <v>25</v>
      </c>
      <c r="B20" s="3" t="n">
        <f aca="false">SUMPRODUCT($R$33:$R$72,$B$33:$B$72)</f>
        <v>1</v>
      </c>
    </row>
    <row r="21" customFormat="false" ht="15" hidden="false" customHeight="false" outlineLevel="0" collapsed="false">
      <c r="A21" s="2" t="s">
        <v>26</v>
      </c>
      <c r="B21" s="3" t="n">
        <f aca="false">SUMIF($D$33:$D$72,"Inverter",$B$33:$B$72)-SUMPRODUCT(($D$33:$D$72="Inverter")*$R$33:$R$72*$B$33:$B$72)</f>
        <v>0</v>
      </c>
    </row>
    <row r="22" customFormat="false" ht="15" hidden="false" customHeight="false" outlineLevel="0" collapsed="false">
      <c r="A22" s="2" t="s">
        <v>27</v>
      </c>
      <c r="B22" s="3" t="n">
        <f aca="false">SUMIF($D$33:$D$72,"Battery",$B$33:$B$72)</f>
        <v>1</v>
      </c>
    </row>
    <row r="23" customFormat="false" ht="15" hidden="false" customHeight="false" outlineLevel="0" collapsed="false">
      <c r="A23" s="2" t="s">
        <v>28</v>
      </c>
      <c r="B23" s="3" t="n">
        <f aca="false">IF(B22=0,0,SUMPRODUCT(MAX(($D$33:$D$72="Battery")*$M$33:$M$72)))</f>
        <v>111</v>
      </c>
    </row>
    <row r="24" customFormat="false" ht="15" hidden="false" customHeight="false" outlineLevel="0" collapsed="false">
      <c r="A24" s="2" t="s">
        <v>29</v>
      </c>
      <c r="B24" s="3" t="n">
        <f aca="false">SUMPRODUCT(($D$33:$D$72="Enclosures and Raceways")*((ISNUMBER(SEARCH("box",$C$33:$C$72))+ISNUMBER(SEARCH("enclosure",$C$33:$C$72)))&gt;0)*$B$33:$B$72)</f>
        <v>2</v>
      </c>
    </row>
    <row r="25" customFormat="false" ht="15" hidden="false" customHeight="false" outlineLevel="0" collapsed="false">
      <c r="A25" s="2" t="s">
        <v>30</v>
      </c>
      <c r="B25" s="3" t="n">
        <f aca="false">SUMIF($D$33:$D$72,"Protective Devices",$B$33:$B$72)</f>
        <v>13</v>
      </c>
    </row>
    <row r="26" customFormat="false" ht="15" hidden="false" customHeight="false" outlineLevel="0" collapsed="false">
      <c r="A26" s="2" t="s">
        <v>31</v>
      </c>
      <c r="B26" s="3" t="n">
        <f aca="false">SUMPRODUCT(($D$33:$D$72="Enclosures and Raceways")*($F$33:$F$72="m")*$B$33:$B$72)+2*SUMPRODUCT(($D$33:$D$72="Enclosures and Raceways")*ISNUMBER(SEARCH("tray",$C$33:$C$72))*($F$33:$F$72="pc")*$B$33:$B$72)</f>
        <v>32</v>
      </c>
      <c r="C26" s="2" t="s">
        <v>32</v>
      </c>
    </row>
    <row r="27" customFormat="false" ht="15" hidden="false" customHeight="false" outlineLevel="0" collapsed="false">
      <c r="A27" s="2" t="s">
        <v>33</v>
      </c>
      <c r="B27" s="3" t="n">
        <f aca="false">SUMPRODUCT(($D$33:$D$72="Wires and Terminations")*($F$33:$F$72="m")*$B$33:$B$72)</f>
        <v>65</v>
      </c>
    </row>
    <row r="28" customFormat="false" ht="15" hidden="false" customHeight="false" outlineLevel="0" collapsed="false">
      <c r="A28" s="2" t="s">
        <v>34</v>
      </c>
      <c r="B28" s="3" t="n">
        <f aca="false">SUMPRODUCT(ISNUMBER(SEARCH("MC4",$C$33:$C$72))*$B$33:$B$72)</f>
        <v>4</v>
      </c>
    </row>
    <row r="29" customFormat="false" ht="15" hidden="false" customHeight="false" outlineLevel="0" collapsed="false">
      <c r="A29" s="2" t="s">
        <v>35</v>
      </c>
      <c r="B29" s="3" t="n">
        <f aca="false">SUMPRODUCT(($D$33:$D$72="Grounding")*ISNUMBER(SEARCH("rod",$C$33:$C$72))*$B$33:$B$72)</f>
        <v>1</v>
      </c>
    </row>
    <row r="31" customFormat="false" ht="15" hidden="false" customHeight="false" outlineLevel="0" collapsed="false">
      <c r="A31" s="1" t="s">
        <v>36</v>
      </c>
    </row>
    <row r="32" customFormat="false" ht="60" hidden="false" customHeight="true" outlineLevel="0" collapsed="false">
      <c r="A32" s="4" t="s">
        <v>37</v>
      </c>
      <c r="B32" s="4" t="s">
        <v>38</v>
      </c>
      <c r="C32" s="4" t="s">
        <v>39</v>
      </c>
      <c r="D32" s="4" t="s">
        <v>40</v>
      </c>
      <c r="E32" s="4" t="s">
        <v>41</v>
      </c>
      <c r="F32" s="4" t="s">
        <v>42</v>
      </c>
      <c r="G32" s="4" t="s">
        <v>43</v>
      </c>
      <c r="H32" s="4" t="s">
        <v>44</v>
      </c>
      <c r="I32" s="4" t="s">
        <v>45</v>
      </c>
      <c r="J32" s="4" t="s">
        <v>46</v>
      </c>
      <c r="K32" s="4" t="s">
        <v>47</v>
      </c>
      <c r="L32" s="4" t="s">
        <v>48</v>
      </c>
      <c r="M32" s="4" t="s">
        <v>49</v>
      </c>
      <c r="N32" s="4" t="s">
        <v>50</v>
      </c>
      <c r="O32" s="4" t="s">
        <v>51</v>
      </c>
      <c r="P32" s="4" t="s">
        <v>52</v>
      </c>
      <c r="Q32" s="4" t="s">
        <v>53</v>
      </c>
      <c r="R32" s="4" t="s">
        <v>54</v>
      </c>
    </row>
    <row r="33" customFormat="false" ht="15" hidden="false" customHeight="false" outlineLevel="0" collapsed="false">
      <c r="A33" s="2" t="s">
        <v>55</v>
      </c>
      <c r="B33" s="2" t="n">
        <v>8</v>
      </c>
      <c r="C33" s="2" t="str">
        <f aca="false">IF($A33="","",IFERROR(INDEX('MATERIALS DB'!$D$4:$D$465,MATCH($A33,'MATERIALS DB'!$A$4:$A$465,0)),"Code not found"))</f>
        <v>630W Bifacial solar panel</v>
      </c>
      <c r="D33" s="2" t="str">
        <f aca="false">IF($A33="","",IFERROR(INDEX('MATERIALS DB'!$B$4:$B$465,MATCH($A33,'MATERIALS DB'!$A$4:$A$465,0)),""))</f>
        <v>Solar Panel</v>
      </c>
      <c r="E33" s="2" t="str">
        <f aca="false">IF($A33="","",IFERROR(INDEX('MATERIALS DB'!$C$4:$C$465,MATCH($A33,'MATERIALS DB'!$A$4:$A$465,0)),""))</f>
        <v>Blue Carbon</v>
      </c>
      <c r="F33" s="2" t="str">
        <f aca="false">IF($A33="","",IFERROR(INDEX('MATERIALS DB'!$F$4:$F$465,MATCH($A33,'MATERIALS DB'!$A$4:$A$465,0)),""))</f>
        <v>pc</v>
      </c>
      <c r="G33" s="5" t="n">
        <f aca="false">IF($A33="",0,IFERROR(INDEX('MATERIALS DB'!$W$4:$W$465,MATCH($A33,'MATERIALS DB'!$A$4:$A$465,0)),0))</f>
        <v>5497.92954847723</v>
      </c>
      <c r="H33" s="6" t="n">
        <f aca="false">IF($A33="",0,IFERROR(INDEX('MATERIALS DB'!$Y$4:$Y$465,MATCH($A33,'MATERIALS DB'!$A$4:$A$465,0)),0))</f>
        <v>0.1</v>
      </c>
      <c r="I33" s="5" t="n">
        <f aca="false">B33*G33</f>
        <v>43983.4363878179</v>
      </c>
      <c r="J33" s="5" t="n">
        <f aca="false">I33*H33</f>
        <v>4398.34363878179</v>
      </c>
      <c r="K33" s="5" t="n">
        <f aca="false">I33+J33</f>
        <v>48381.7800265997</v>
      </c>
      <c r="L33" s="7" t="n">
        <f aca="false">IF($A33="",0,IFERROR(B33*INDEX('MATERIALS DB'!$Q$4:$Q$465,MATCH($A33,'MATERIALS DB'!$A$4:$A$465,0))*(INDEX(SUPPLIERS!$F$3:$F$30,MATCH(E33,SUPPLIERS!$A$3:$A$30,0))&lt;&gt;"Yes"),0))</f>
        <v>0.0738666666666667</v>
      </c>
      <c r="M33" s="3" t="n">
        <f aca="false">IF($A33="",0,IFERROR(INDEX('MATERIALS DB'!$N$4:$N$465,MATCH($A33,'MATERIALS DB'!$A$4:$A$465,0)),0))</f>
        <v>27.7</v>
      </c>
      <c r="N33" s="8"/>
      <c r="O33" s="5" t="str">
        <f aca="false">IF(N33="","",N33-I33)</f>
        <v/>
      </c>
      <c r="Q33" s="2" t="n">
        <f aca="false">IF($A33="",0,IFERROR(INDEX('MATERIALS DB'!$K$4:$K$465,MATCH($A33,'MATERIALS DB'!$A$4:$A$465,0)),0))</f>
        <v>630</v>
      </c>
      <c r="R33" s="2" t="n">
        <f aca="false">IF($A33="",0,IF(OR(D33="All-in-one System",AND(D33="Inverter",OR(ISNUMBER(SEARCH("hybrid",C33)),ISNUMBER(SEARCH("off-grid",C33))))),1,0))</f>
        <v>0</v>
      </c>
    </row>
    <row r="34" customFormat="false" ht="15" hidden="false" customHeight="false" outlineLevel="0" collapsed="false">
      <c r="A34" s="2" t="s">
        <v>56</v>
      </c>
      <c r="B34" s="2" t="n">
        <v>1</v>
      </c>
      <c r="C34" s="2" t="str">
        <f aca="false">IF($A34="","",IFERROR(INDEX('MATERIALS DB'!$D$4:$D$465,MATCH($A34,'MATERIALS DB'!$A$4:$A$465,0)),"Code not found"))</f>
        <v>6 kW low-voltage hybrid inverter (grid-tie + backup)</v>
      </c>
      <c r="D34" s="2" t="str">
        <f aca="false">IF($A34="","",IFERROR(INDEX('MATERIALS DB'!$B$4:$B$465,MATCH($A34,'MATERIALS DB'!$A$4:$A$465,0)),""))</f>
        <v>Inverter</v>
      </c>
      <c r="E34" s="2" t="str">
        <f aca="false">IF($A34="","",IFERROR(INDEX('MATERIALS DB'!$C$4:$C$465,MATCH($A34,'MATERIALS DB'!$A$4:$A$465,0)),""))</f>
        <v>Felicity Solar</v>
      </c>
      <c r="F34" s="2" t="str">
        <f aca="false">IF($A34="","",IFERROR(INDEX('MATERIALS DB'!$F$4:$F$465,MATCH($A34,'MATERIALS DB'!$A$4:$A$465,0)),""))</f>
        <v>pc</v>
      </c>
      <c r="G34" s="5" t="n">
        <f aca="false">IF($A34="",0,IFERROR(INDEX('MATERIALS DB'!$W$4:$W$465,MATCH($A34,'MATERIALS DB'!$A$4:$A$465,0)),0))</f>
        <v>43042.3925609275</v>
      </c>
      <c r="H34" s="6" t="n">
        <f aca="false">IF($A34="",0,IFERROR(INDEX('MATERIALS DB'!$Y$4:$Y$465,MATCH($A34,'MATERIALS DB'!$A$4:$A$465,0)),0))</f>
        <v>0.1</v>
      </c>
      <c r="I34" s="5" t="n">
        <f aca="false">B34*G34</f>
        <v>43042.3925609275</v>
      </c>
      <c r="J34" s="5" t="n">
        <f aca="false">I34*H34</f>
        <v>4304.23925609275</v>
      </c>
      <c r="K34" s="5" t="n">
        <f aca="false">I34+J34</f>
        <v>47346.6318170203</v>
      </c>
      <c r="L34" s="7" t="n">
        <f aca="false">IF($A34="",0,IFERROR(B34*INDEX('MATERIALS DB'!$Q$4:$Q$465,MATCH($A34,'MATERIALS DB'!$A$4:$A$465,0))*(INDEX(SUPPLIERS!$F$3:$F$30,MATCH(E34,SUPPLIERS!$A$3:$A$30,0))&lt;&gt;"Yes"),0))</f>
        <v>0.00816666666666667</v>
      </c>
      <c r="M34" s="3" t="n">
        <f aca="false">IF($A34="",0,IFERROR(INDEX('MATERIALS DB'!$N$4:$N$465,MATCH($A34,'MATERIALS DB'!$A$4:$A$465,0)),0))</f>
        <v>24.5</v>
      </c>
      <c r="N34" s="8"/>
      <c r="O34" s="5" t="str">
        <f aca="false">IF(N34="","",N34-I34)</f>
        <v/>
      </c>
      <c r="Q34" s="2" t="n">
        <f aca="false">IF($A34="",0,IFERROR(INDEX('MATERIALS DB'!$K$4:$K$465,MATCH($A34,'MATERIALS DB'!$A$4:$A$465,0)),0))</f>
        <v>6</v>
      </c>
      <c r="R34" s="2" t="n">
        <f aca="false">IF($A34="",0,IF(OR(D34="All-in-one System",AND(D34="Inverter",OR(ISNUMBER(SEARCH("hybrid",C34)),ISNUMBER(SEARCH("off-grid",C34))))),1,0))</f>
        <v>1</v>
      </c>
    </row>
    <row r="35" customFormat="false" ht="15" hidden="false" customHeight="false" outlineLevel="0" collapsed="false">
      <c r="A35" s="2" t="s">
        <v>57</v>
      </c>
      <c r="B35" s="2" t="n">
        <v>1</v>
      </c>
      <c r="C35" s="2" t="str">
        <f aca="false">IF($A35="","",IFERROR(INDEX('MATERIALS DB'!$D$4:$D$465,MATCH($A35,'MATERIALS DB'!$A$4:$A$465,0)),"Code not found"))</f>
        <v>LiFePO4 51.2V 230Ah (11.7 kWh), FLB IP65</v>
      </c>
      <c r="D35" s="2" t="str">
        <f aca="false">IF($A35="","",IFERROR(INDEX('MATERIALS DB'!$B$4:$B$465,MATCH($A35,'MATERIALS DB'!$A$4:$A$465,0)),""))</f>
        <v>Battery</v>
      </c>
      <c r="E35" s="2" t="str">
        <f aca="false">IF($A35="","",IFERROR(INDEX('MATERIALS DB'!$C$4:$C$465,MATCH($A35,'MATERIALS DB'!$A$4:$A$465,0)),""))</f>
        <v>Felicity Solar</v>
      </c>
      <c r="F35" s="2" t="str">
        <f aca="false">IF($A35="","",IFERROR(INDEX('MATERIALS DB'!$F$4:$F$465,MATCH($A35,'MATERIALS DB'!$A$4:$A$465,0)),""))</f>
        <v>pc</v>
      </c>
      <c r="G35" s="5" t="n">
        <f aca="false">IF($A35="",0,IFERROR(INDEX('MATERIALS DB'!$W$4:$W$465,MATCH($A35,'MATERIALS DB'!$A$4:$A$465,0)),0))</f>
        <v>87192.0642556308</v>
      </c>
      <c r="H35" s="6" t="n">
        <f aca="false">IF($A35="",0,IFERROR(INDEX('MATERIALS DB'!$Y$4:$Y$465,MATCH($A35,'MATERIALS DB'!$A$4:$A$465,0)),0))</f>
        <v>0.15</v>
      </c>
      <c r="I35" s="5" t="n">
        <f aca="false">B35*G35</f>
        <v>87192.0642556308</v>
      </c>
      <c r="J35" s="5" t="n">
        <f aca="false">I35*H35</f>
        <v>13078.8096383446</v>
      </c>
      <c r="K35" s="5" t="n">
        <f aca="false">I35+J35</f>
        <v>100270.873893975</v>
      </c>
      <c r="L35" s="7" t="n">
        <f aca="false">IF($A35="",0,IFERROR(B35*INDEX('MATERIALS DB'!$Q$4:$Q$465,MATCH($A35,'MATERIALS DB'!$A$4:$A$465,0))*(INDEX(SUPPLIERS!$F$3:$F$30,MATCH(E35,SUPPLIERS!$A$3:$A$30,0))&lt;&gt;"Yes"),0))</f>
        <v>0.037</v>
      </c>
      <c r="M35" s="3" t="n">
        <f aca="false">IF($A35="",0,IFERROR(INDEX('MATERIALS DB'!$N$4:$N$465,MATCH($A35,'MATERIALS DB'!$A$4:$A$465,0)),0))</f>
        <v>111</v>
      </c>
      <c r="N35" s="8"/>
      <c r="O35" s="5" t="str">
        <f aca="false">IF(N35="","",N35-I35)</f>
        <v/>
      </c>
      <c r="Q35" s="2" t="n">
        <f aca="false">IF($A35="",0,IFERROR(INDEX('MATERIALS DB'!$K$4:$K$465,MATCH($A35,'MATERIALS DB'!$A$4:$A$465,0)),0))</f>
        <v>11.7</v>
      </c>
      <c r="R35" s="2" t="n">
        <f aca="false">IF($A35="",0,IF(OR(D35="All-in-one System",AND(D35="Inverter",OR(ISNUMBER(SEARCH("hybrid",C35)),ISNUMBER(SEARCH("off-grid",C35))))),1,0))</f>
        <v>0</v>
      </c>
    </row>
    <row r="36" customFormat="false" ht="15" hidden="false" customHeight="false" outlineLevel="0" collapsed="false">
      <c r="A36" s="2" t="s">
        <v>58</v>
      </c>
      <c r="B36" s="2" t="n">
        <v>8</v>
      </c>
      <c r="C36" s="2" t="str">
        <f aca="false">IF($A36="","",IFERROR(INDEX('MATERIALS DB'!$D$4:$D$465,MATCH($A36,'MATERIALS DB'!$A$4:$A$465,0)),"Code not found"))</f>
        <v>Rail 2.4 m</v>
      </c>
      <c r="D36" s="2" t="str">
        <f aca="false">IF($A36="","",IFERROR(INDEX('MATERIALS DB'!$B$4:$B$465,MATCH($A36,'MATERIALS DB'!$A$4:$A$465,0)),""))</f>
        <v>Mounting</v>
      </c>
      <c r="E36" s="2" t="str">
        <f aca="false">IF($A36="","",IFERROR(INDEX('MATERIALS DB'!$C$4:$C$465,MATCH($A36,'MATERIALS DB'!$A$4:$A$465,0)),""))</f>
        <v>Blue Carbon</v>
      </c>
      <c r="F36" s="2" t="str">
        <f aca="false">IF($A36="","",IFERROR(INDEX('MATERIALS DB'!$F$4:$F$465,MATCH($A36,'MATERIALS DB'!$A$4:$A$465,0)),""))</f>
        <v>pc</v>
      </c>
      <c r="G36" s="5" t="n">
        <f aca="false">IF($A36="",0,IFERROR(INDEX('MATERIALS DB'!$W$4:$W$465,MATCH($A36,'MATERIALS DB'!$A$4:$A$465,0)),0))</f>
        <v>555.298802384145</v>
      </c>
      <c r="H36" s="6" t="n">
        <f aca="false">IF($A36="",0,IFERROR(INDEX('MATERIALS DB'!$Y$4:$Y$465,MATCH($A36,'MATERIALS DB'!$A$4:$A$465,0)),0))</f>
        <v>0.3</v>
      </c>
      <c r="I36" s="5" t="n">
        <f aca="false">B36*G36</f>
        <v>4442.39041907316</v>
      </c>
      <c r="J36" s="5" t="n">
        <f aca="false">I36*H36</f>
        <v>1332.71712572195</v>
      </c>
      <c r="K36" s="5" t="n">
        <f aca="false">I36+J36</f>
        <v>5775.1075447951</v>
      </c>
      <c r="L36" s="7" t="n">
        <f aca="false">IF($A36="",0,IFERROR(B36*INDEX('MATERIALS DB'!$Q$4:$Q$465,MATCH($A36,'MATERIALS DB'!$A$4:$A$465,0))*(INDEX(SUPPLIERS!$F$3:$F$30,MATCH(E36,SUPPLIERS!$A$3:$A$30,0))&lt;&gt;"Yes"),0))</f>
        <v>0.00693333333333333</v>
      </c>
      <c r="M36" s="3" t="n">
        <f aca="false">IF($A36="",0,IFERROR(INDEX('MATERIALS DB'!$N$4:$N$465,MATCH($A36,'MATERIALS DB'!$A$4:$A$465,0)),0))</f>
        <v>2.6</v>
      </c>
      <c r="N36" s="8"/>
      <c r="O36" s="5" t="str">
        <f aca="false">IF(N36="","",N36-I36)</f>
        <v/>
      </c>
      <c r="Q36" s="2" t="n">
        <f aca="false">IF($A36="",0,IFERROR(INDEX('MATERIALS DB'!$K$4:$K$465,MATCH($A36,'MATERIALS DB'!$A$4:$A$465,0)),0))</f>
        <v>0</v>
      </c>
      <c r="R36" s="2" t="n">
        <f aca="false">IF($A36="",0,IF(OR(D36="All-in-one System",AND(D36="Inverter",OR(ISNUMBER(SEARCH("hybrid",C36)),ISNUMBER(SEARCH("off-grid",C36))))),1,0))</f>
        <v>0</v>
      </c>
    </row>
    <row r="37" customFormat="false" ht="15" hidden="false" customHeight="false" outlineLevel="0" collapsed="false">
      <c r="A37" s="2" t="s">
        <v>59</v>
      </c>
      <c r="B37" s="2" t="n">
        <v>24</v>
      </c>
      <c r="C37" s="2" t="str">
        <f aca="false">IF($A37="","",IFERROR(INDEX('MATERIALS DB'!$D$4:$D$465,MATCH($A37,'MATERIALS DB'!$A$4:$A$465,0)),"Code not found"))</f>
        <v>L-leg (L-foot)</v>
      </c>
      <c r="D37" s="2" t="str">
        <f aca="false">IF($A37="","",IFERROR(INDEX('MATERIALS DB'!$B$4:$B$465,MATCH($A37,'MATERIALS DB'!$A$4:$A$465,0)),""))</f>
        <v>Mounting</v>
      </c>
      <c r="E37" s="2" t="str">
        <f aca="false">IF($A37="","",IFERROR(INDEX('MATERIALS DB'!$C$4:$C$465,MATCH($A37,'MATERIALS DB'!$A$4:$A$465,0)),""))</f>
        <v>Blue Carbon</v>
      </c>
      <c r="F37" s="2" t="str">
        <f aca="false">IF($A37="","",IFERROR(INDEX('MATERIALS DB'!$F$4:$F$465,MATCH($A37,'MATERIALS DB'!$A$4:$A$465,0)),""))</f>
        <v>pc</v>
      </c>
      <c r="G37" s="5" t="n">
        <f aca="false">IF($A37="",0,IFERROR(INDEX('MATERIALS DB'!$W$4:$W$465,MATCH($A37,'MATERIALS DB'!$A$4:$A$465,0)),0))</f>
        <v>71.659546291393</v>
      </c>
      <c r="H37" s="6" t="n">
        <f aca="false">IF($A37="",0,IFERROR(INDEX('MATERIALS DB'!$Y$4:$Y$465,MATCH($A37,'MATERIALS DB'!$A$4:$A$465,0)),0))</f>
        <v>0.3</v>
      </c>
      <c r="I37" s="5" t="n">
        <f aca="false">B37*G37</f>
        <v>1719.82911099343</v>
      </c>
      <c r="J37" s="5" t="n">
        <f aca="false">I37*H37</f>
        <v>515.948733298029</v>
      </c>
      <c r="K37" s="5" t="n">
        <f aca="false">I37+J37</f>
        <v>2235.77784429146</v>
      </c>
      <c r="L37" s="7" t="n">
        <f aca="false">IF($A37="",0,IFERROR(B37*INDEX('MATERIALS DB'!$Q$4:$Q$465,MATCH($A37,'MATERIALS DB'!$A$4:$A$465,0))*(INDEX(SUPPLIERS!$F$3:$F$30,MATCH(E37,SUPPLIERS!$A$3:$A$30,0))&lt;&gt;"Yes"),0))</f>
        <v>0.0012</v>
      </c>
      <c r="M37" s="3" t="n">
        <f aca="false">IF($A37="",0,IFERROR(INDEX('MATERIALS DB'!$N$4:$N$465,MATCH($A37,'MATERIALS DB'!$A$4:$A$465,0)),0))</f>
        <v>0.15</v>
      </c>
      <c r="N37" s="8"/>
      <c r="O37" s="5" t="str">
        <f aca="false">IF(N37="","",N37-I37)</f>
        <v/>
      </c>
      <c r="Q37" s="2" t="n">
        <f aca="false">IF($A37="",0,IFERROR(INDEX('MATERIALS DB'!$K$4:$K$465,MATCH($A37,'MATERIALS DB'!$A$4:$A$465,0)),0))</f>
        <v>0</v>
      </c>
      <c r="R37" s="2" t="n">
        <f aca="false">IF($A37="",0,IF(OR(D37="All-in-one System",AND(D37="Inverter",OR(ISNUMBER(SEARCH("hybrid",C37)),ISNUMBER(SEARCH("off-grid",C37))))),1,0))</f>
        <v>0</v>
      </c>
    </row>
    <row r="38" customFormat="false" ht="15" hidden="false" customHeight="false" outlineLevel="0" collapsed="false">
      <c r="A38" s="2" t="s">
        <v>60</v>
      </c>
      <c r="B38" s="2" t="n">
        <v>8</v>
      </c>
      <c r="C38" s="2" t="str">
        <f aca="false">IF($A38="","",IFERROR(INDEX('MATERIALS DB'!$D$4:$D$465,MATCH($A38,'MATERIALS DB'!$A$4:$A$465,0)),"Code not found"))</f>
        <v>End clamp</v>
      </c>
      <c r="D38" s="2" t="str">
        <f aca="false">IF($A38="","",IFERROR(INDEX('MATERIALS DB'!$B$4:$B$465,MATCH($A38,'MATERIALS DB'!$A$4:$A$465,0)),""))</f>
        <v>Mounting</v>
      </c>
      <c r="E38" s="2" t="str">
        <f aca="false">IF($A38="","",IFERROR(INDEX('MATERIALS DB'!$C$4:$C$465,MATCH($A38,'MATERIALS DB'!$A$4:$A$465,0)),""))</f>
        <v>Blue Carbon</v>
      </c>
      <c r="F38" s="2" t="str">
        <f aca="false">IF($A38="","",IFERROR(INDEX('MATERIALS DB'!$F$4:$F$465,MATCH($A38,'MATERIALS DB'!$A$4:$A$465,0)),""))</f>
        <v>pc</v>
      </c>
      <c r="G38" s="5" t="n">
        <f aca="false">IF($A38="",0,IFERROR(INDEX('MATERIALS DB'!$W$4:$W$465,MATCH($A38,'MATERIALS DB'!$A$4:$A$465,0)),0))</f>
        <v>39.9184246887429</v>
      </c>
      <c r="H38" s="6" t="n">
        <f aca="false">IF($A38="",0,IFERROR(INDEX('MATERIALS DB'!$Y$4:$Y$465,MATCH($A38,'MATERIALS DB'!$A$4:$A$465,0)),0))</f>
        <v>0.3</v>
      </c>
      <c r="I38" s="5" t="n">
        <f aca="false">B38*G38</f>
        <v>319.347397509943</v>
      </c>
      <c r="J38" s="5" t="n">
        <f aca="false">I38*H38</f>
        <v>95.804219252983</v>
      </c>
      <c r="K38" s="5" t="n">
        <f aca="false">I38+J38</f>
        <v>415.151616762926</v>
      </c>
      <c r="L38" s="7" t="n">
        <f aca="false">IF($A38="",0,IFERROR(B38*INDEX('MATERIALS DB'!$Q$4:$Q$465,MATCH($A38,'MATERIALS DB'!$A$4:$A$465,0))*(INDEX(SUPPLIERS!$F$3:$F$30,MATCH(E38,SUPPLIERS!$A$3:$A$30,0))&lt;&gt;"Yes"),0))</f>
        <v>0.000213333333333333</v>
      </c>
      <c r="M38" s="3" t="n">
        <f aca="false">IF($A38="",0,IFERROR(INDEX('MATERIALS DB'!$N$4:$N$465,MATCH($A38,'MATERIALS DB'!$A$4:$A$465,0)),0))</f>
        <v>0.08</v>
      </c>
      <c r="N38" s="8"/>
      <c r="O38" s="5" t="str">
        <f aca="false">IF(N38="","",N38-I38)</f>
        <v/>
      </c>
      <c r="Q38" s="2" t="n">
        <f aca="false">IF($A38="",0,IFERROR(INDEX('MATERIALS DB'!$K$4:$K$465,MATCH($A38,'MATERIALS DB'!$A$4:$A$465,0)),0))</f>
        <v>0</v>
      </c>
      <c r="R38" s="2" t="n">
        <f aca="false">IF($A38="",0,IF(OR(D38="All-in-one System",AND(D38="Inverter",OR(ISNUMBER(SEARCH("hybrid",C38)),ISNUMBER(SEARCH("off-grid",C38))))),1,0))</f>
        <v>0</v>
      </c>
    </row>
    <row r="39" customFormat="false" ht="15" hidden="false" customHeight="false" outlineLevel="0" collapsed="false">
      <c r="A39" s="2" t="s">
        <v>61</v>
      </c>
      <c r="B39" s="2" t="n">
        <v>12</v>
      </c>
      <c r="C39" s="2" t="str">
        <f aca="false">IF($A39="","",IFERROR(INDEX('MATERIALS DB'!$D$4:$D$465,MATCH($A39,'MATERIALS DB'!$A$4:$A$465,0)),"Code not found"))</f>
        <v>Mid clamp</v>
      </c>
      <c r="D39" s="2" t="str">
        <f aca="false">IF($A39="","",IFERROR(INDEX('MATERIALS DB'!$B$4:$B$465,MATCH($A39,'MATERIALS DB'!$A$4:$A$465,0)),""))</f>
        <v>Mounting</v>
      </c>
      <c r="E39" s="2" t="str">
        <f aca="false">IF($A39="","",IFERROR(INDEX('MATERIALS DB'!$C$4:$C$465,MATCH($A39,'MATERIALS DB'!$A$4:$A$465,0)),""))</f>
        <v>Blue Carbon</v>
      </c>
      <c r="F39" s="2" t="str">
        <f aca="false">IF($A39="","",IFERROR(INDEX('MATERIALS DB'!$F$4:$F$465,MATCH($A39,'MATERIALS DB'!$A$4:$A$465,0)),""))</f>
        <v>pc</v>
      </c>
      <c r="G39" s="5" t="n">
        <f aca="false">IF($A39="",0,IFERROR(INDEX('MATERIALS DB'!$W$4:$W$465,MATCH($A39,'MATERIALS DB'!$A$4:$A$465,0)),0))</f>
        <v>43.9984246887429</v>
      </c>
      <c r="H39" s="6" t="n">
        <f aca="false">IF($A39="",0,IFERROR(INDEX('MATERIALS DB'!$Y$4:$Y$465,MATCH($A39,'MATERIALS DB'!$A$4:$A$465,0)),0))</f>
        <v>0.3</v>
      </c>
      <c r="I39" s="5" t="n">
        <f aca="false">B39*G39</f>
        <v>527.981096264915</v>
      </c>
      <c r="J39" s="5" t="n">
        <f aca="false">I39*H39</f>
        <v>158.394328879474</v>
      </c>
      <c r="K39" s="5" t="n">
        <f aca="false">I39+J39</f>
        <v>686.375425144389</v>
      </c>
      <c r="L39" s="7" t="n">
        <f aca="false">IF($A39="",0,IFERROR(B39*INDEX('MATERIALS DB'!$Q$4:$Q$465,MATCH($A39,'MATERIALS DB'!$A$4:$A$465,0))*(INDEX(SUPPLIERS!$F$3:$F$30,MATCH(E39,SUPPLIERS!$A$3:$A$30,0))&lt;&gt;"Yes"),0))</f>
        <v>0.00032</v>
      </c>
      <c r="M39" s="3" t="n">
        <f aca="false">IF($A39="",0,IFERROR(INDEX('MATERIALS DB'!$N$4:$N$465,MATCH($A39,'MATERIALS DB'!$A$4:$A$465,0)),0))</f>
        <v>0.08</v>
      </c>
      <c r="N39" s="8"/>
      <c r="O39" s="5" t="str">
        <f aca="false">IF(N39="","",N39-I39)</f>
        <v/>
      </c>
      <c r="Q39" s="2" t="n">
        <f aca="false">IF($A39="",0,IFERROR(INDEX('MATERIALS DB'!$K$4:$K$465,MATCH($A39,'MATERIALS DB'!$A$4:$A$465,0)),0))</f>
        <v>0</v>
      </c>
      <c r="R39" s="2" t="n">
        <f aca="false">IF($A39="",0,IF(OR(D39="All-in-one System",AND(D39="Inverter",OR(ISNUMBER(SEARCH("hybrid",C39)),ISNUMBER(SEARCH("off-grid",C39))))),1,0))</f>
        <v>0</v>
      </c>
    </row>
    <row r="40" customFormat="false" ht="15" hidden="false" customHeight="false" outlineLevel="0" collapsed="false">
      <c r="A40" s="2" t="s">
        <v>62</v>
      </c>
      <c r="B40" s="2" t="n">
        <v>4</v>
      </c>
      <c r="C40" s="2" t="str">
        <f aca="false">IF($A40="","",IFERROR(INDEX('MATERIALS DB'!$D$4:$D$465,MATCH($A40,'MATERIALS DB'!$A$4:$A$465,0)),"Code not found"))</f>
        <v>Rail splice</v>
      </c>
      <c r="D40" s="2" t="str">
        <f aca="false">IF($A40="","",IFERROR(INDEX('MATERIALS DB'!$B$4:$B$465,MATCH($A40,'MATERIALS DB'!$A$4:$A$465,0)),""))</f>
        <v>Mounting</v>
      </c>
      <c r="E40" s="2" t="str">
        <f aca="false">IF($A40="","",IFERROR(INDEX('MATERIALS DB'!$C$4:$C$465,MATCH($A40,'MATERIALS DB'!$A$4:$A$465,0)),""))</f>
        <v>Blue Carbon</v>
      </c>
      <c r="F40" s="2" t="str">
        <f aca="false">IF($A40="","",IFERROR(INDEX('MATERIALS DB'!$F$4:$F$465,MATCH($A40,'MATERIALS DB'!$A$4:$A$465,0)),""))</f>
        <v>pc</v>
      </c>
      <c r="G40" s="5" t="n">
        <f aca="false">IF($A40="",0,IFERROR(INDEX('MATERIALS DB'!$W$4:$W$465,MATCH($A40,'MATERIALS DB'!$A$4:$A$465,0)),0))</f>
        <v>61.459546291393</v>
      </c>
      <c r="H40" s="6" t="n">
        <f aca="false">IF($A40="",0,IFERROR(INDEX('MATERIALS DB'!$Y$4:$Y$465,MATCH($A40,'MATERIALS DB'!$A$4:$A$465,0)),0))</f>
        <v>0.3</v>
      </c>
      <c r="I40" s="5" t="n">
        <f aca="false">B40*G40</f>
        <v>245.838185165572</v>
      </c>
      <c r="J40" s="5" t="n">
        <f aca="false">I40*H40</f>
        <v>73.7514555496716</v>
      </c>
      <c r="K40" s="5" t="n">
        <f aca="false">I40+J40</f>
        <v>319.589640715243</v>
      </c>
      <c r="L40" s="7" t="n">
        <f aca="false">IF($A40="",0,IFERROR(B40*INDEX('MATERIALS DB'!$Q$4:$Q$465,MATCH($A40,'MATERIALS DB'!$A$4:$A$465,0))*(INDEX(SUPPLIERS!$F$3:$F$30,MATCH(E40,SUPPLIERS!$A$3:$A$30,0))&lt;&gt;"Yes"),0))</f>
        <v>0.0002</v>
      </c>
      <c r="M40" s="3" t="n">
        <f aca="false">IF($A40="",0,IFERROR(INDEX('MATERIALS DB'!$N$4:$N$465,MATCH($A40,'MATERIALS DB'!$A$4:$A$465,0)),0))</f>
        <v>0.15</v>
      </c>
      <c r="N40" s="8"/>
      <c r="O40" s="5" t="str">
        <f aca="false">IF(N40="","",N40-I40)</f>
        <v/>
      </c>
      <c r="Q40" s="2" t="n">
        <f aca="false">IF($A40="",0,IFERROR(INDEX('MATERIALS DB'!$K$4:$K$465,MATCH($A40,'MATERIALS DB'!$A$4:$A$465,0)),0))</f>
        <v>0</v>
      </c>
      <c r="R40" s="2" t="n">
        <f aca="false">IF($A40="",0,IF(OR(D40="All-in-one System",AND(D40="Inverter",OR(ISNUMBER(SEARCH("hybrid",C40)),ISNUMBER(SEARCH("off-grid",C40))))),1,0))</f>
        <v>0</v>
      </c>
    </row>
    <row r="41" customFormat="false" ht="15" hidden="false" customHeight="false" outlineLevel="0" collapsed="false">
      <c r="A41" s="2" t="s">
        <v>63</v>
      </c>
      <c r="B41" s="2" t="n">
        <v>15</v>
      </c>
      <c r="C41" s="2" t="str">
        <f aca="false">IF($A41="","",IFERROR(INDEX('MATERIALS DB'!$D$4:$D$465,MATCH($A41,'MATERIALS DB'!$A$4:$A$465,0)),"Code not found"))</f>
        <v>Solar cable 4mm2, red</v>
      </c>
      <c r="D41" s="2" t="str">
        <f aca="false">IF($A41="","",IFERROR(INDEX('MATERIALS DB'!$B$4:$B$465,MATCH($A41,'MATERIALS DB'!$A$4:$A$465,0)),""))</f>
        <v>Wires and Terminations</v>
      </c>
      <c r="E41" s="2" t="str">
        <f aca="false">IF($A41="","",IFERROR(INDEX('MATERIALS DB'!$C$4:$C$465,MATCH($A41,'MATERIALS DB'!$A$4:$A$465,0)),""))</f>
        <v>Blue Carbon</v>
      </c>
      <c r="F41" s="2" t="str">
        <f aca="false">IF($A41="","",IFERROR(INDEX('MATERIALS DB'!$F$4:$F$465,MATCH($A41,'MATERIALS DB'!$A$4:$A$465,0)),""))</f>
        <v>m</v>
      </c>
      <c r="G41" s="5" t="n">
        <f aca="false">IF($A41="",0,IFERROR(INDEX('MATERIALS DB'!$W$4:$W$465,MATCH($A41,'MATERIALS DB'!$A$4:$A$465,0)),0))</f>
        <v>48.9201669735108</v>
      </c>
      <c r="H41" s="6" t="n">
        <f aca="false">IF($A41="",0,IFERROR(INDEX('MATERIALS DB'!$Y$4:$Y$465,MATCH($A41,'MATERIALS DB'!$A$4:$A$465,0)),0))</f>
        <v>0.3</v>
      </c>
      <c r="I41" s="5" t="n">
        <f aca="false">B41*G41</f>
        <v>733.802504602661</v>
      </c>
      <c r="J41" s="5" t="n">
        <f aca="false">I41*H41</f>
        <v>220.140751380798</v>
      </c>
      <c r="K41" s="5" t="n">
        <f aca="false">I41+J41</f>
        <v>953.94325598346</v>
      </c>
      <c r="L41" s="7" t="n">
        <f aca="false">IF($A41="",0,IFERROR(B41*INDEX('MATERIALS DB'!$Q$4:$Q$465,MATCH($A41,'MATERIALS DB'!$A$4:$A$465,0))*(INDEX(SUPPLIERS!$F$3:$F$30,MATCH(E41,SUPPLIERS!$A$3:$A$30,0))&lt;&gt;"Yes"),0))</f>
        <v>0.000275</v>
      </c>
      <c r="M41" s="3" t="n">
        <f aca="false">IF($A41="",0,IFERROR(INDEX('MATERIALS DB'!$N$4:$N$465,MATCH($A41,'MATERIALS DB'!$A$4:$A$465,0)),0))</f>
        <v>0.055</v>
      </c>
      <c r="N41" s="8"/>
      <c r="O41" s="5" t="str">
        <f aca="false">IF(N41="","",N41-I41)</f>
        <v/>
      </c>
      <c r="Q41" s="2" t="n">
        <f aca="false">IF($A41="",0,IFERROR(INDEX('MATERIALS DB'!$K$4:$K$465,MATCH($A41,'MATERIALS DB'!$A$4:$A$465,0)),0))</f>
        <v>0</v>
      </c>
      <c r="R41" s="2" t="n">
        <f aca="false">IF($A41="",0,IF(OR(D41="All-in-one System",AND(D41="Inverter",OR(ISNUMBER(SEARCH("hybrid",C41)),ISNUMBER(SEARCH("off-grid",C41))))),1,0))</f>
        <v>0</v>
      </c>
    </row>
    <row r="42" customFormat="false" ht="15" hidden="false" customHeight="false" outlineLevel="0" collapsed="false">
      <c r="A42" s="2" t="s">
        <v>64</v>
      </c>
      <c r="B42" s="2" t="n">
        <v>15</v>
      </c>
      <c r="C42" s="2" t="str">
        <f aca="false">IF($A42="","",IFERROR(INDEX('MATERIALS DB'!$D$4:$D$465,MATCH($A42,'MATERIALS DB'!$A$4:$A$465,0)),"Code not found"))</f>
        <v>Solar cable 4mm2, black</v>
      </c>
      <c r="D42" s="2" t="str">
        <f aca="false">IF($A42="","",IFERROR(INDEX('MATERIALS DB'!$B$4:$B$465,MATCH($A42,'MATERIALS DB'!$A$4:$A$465,0)),""))</f>
        <v>Wires and Terminations</v>
      </c>
      <c r="E42" s="2" t="str">
        <f aca="false">IF($A42="","",IFERROR(INDEX('MATERIALS DB'!$C$4:$C$465,MATCH($A42,'MATERIALS DB'!$A$4:$A$465,0)),""))</f>
        <v>Blue Carbon</v>
      </c>
      <c r="F42" s="2" t="str">
        <f aca="false">IF($A42="","",IFERROR(INDEX('MATERIALS DB'!$F$4:$F$465,MATCH($A42,'MATERIALS DB'!$A$4:$A$465,0)),""))</f>
        <v>m</v>
      </c>
      <c r="G42" s="5" t="n">
        <f aca="false">IF($A42="",0,IFERROR(INDEX('MATERIALS DB'!$W$4:$W$465,MATCH($A42,'MATERIALS DB'!$A$4:$A$465,0)),0))</f>
        <v>48.9201669735108</v>
      </c>
      <c r="H42" s="6" t="n">
        <f aca="false">IF($A42="",0,IFERROR(INDEX('MATERIALS DB'!$Y$4:$Y$465,MATCH($A42,'MATERIALS DB'!$A$4:$A$465,0)),0))</f>
        <v>0.3</v>
      </c>
      <c r="I42" s="5" t="n">
        <f aca="false">B42*G42</f>
        <v>733.802504602661</v>
      </c>
      <c r="J42" s="5" t="n">
        <f aca="false">I42*H42</f>
        <v>220.140751380798</v>
      </c>
      <c r="K42" s="5" t="n">
        <f aca="false">I42+J42</f>
        <v>953.94325598346</v>
      </c>
      <c r="L42" s="7" t="n">
        <f aca="false">IF($A42="",0,IFERROR(B42*INDEX('MATERIALS DB'!$Q$4:$Q$465,MATCH($A42,'MATERIALS DB'!$A$4:$A$465,0))*(INDEX(SUPPLIERS!$F$3:$F$30,MATCH(E42,SUPPLIERS!$A$3:$A$30,0))&lt;&gt;"Yes"),0))</f>
        <v>0.000275</v>
      </c>
      <c r="M42" s="3" t="n">
        <f aca="false">IF($A42="",0,IFERROR(INDEX('MATERIALS DB'!$N$4:$N$465,MATCH($A42,'MATERIALS DB'!$A$4:$A$465,0)),0))</f>
        <v>0.055</v>
      </c>
      <c r="N42" s="8"/>
      <c r="O42" s="5" t="str">
        <f aca="false">IF(N42="","",N42-I42)</f>
        <v/>
      </c>
      <c r="Q42" s="2" t="n">
        <f aca="false">IF($A42="",0,IFERROR(INDEX('MATERIALS DB'!$K$4:$K$465,MATCH($A42,'MATERIALS DB'!$A$4:$A$465,0)),0))</f>
        <v>0</v>
      </c>
      <c r="R42" s="2" t="n">
        <f aca="false">IF($A42="",0,IF(OR(D42="All-in-one System",AND(D42="Inverter",OR(ISNUMBER(SEARCH("hybrid",C42)),ISNUMBER(SEARCH("off-grid",C42))))),1,0))</f>
        <v>0</v>
      </c>
    </row>
    <row r="43" customFormat="false" ht="15" hidden="false" customHeight="false" outlineLevel="0" collapsed="false">
      <c r="A43" s="2" t="s">
        <v>65</v>
      </c>
      <c r="B43" s="2" t="n">
        <v>35</v>
      </c>
      <c r="C43" s="2" t="str">
        <f aca="false">IF($A43="","",IFERROR(INDEX('MATERIALS DB'!$D$4:$D$465,MATCH($A43,'MATERIALS DB'!$A$4:$A$465,0)),"Code not found"))</f>
        <v>THHN 8.0mm2 EURO WIRES</v>
      </c>
      <c r="D43" s="2" t="str">
        <f aca="false">IF($A43="","",IFERROR(INDEX('MATERIALS DB'!$B$4:$B$465,MATCH($A43,'MATERIALS DB'!$A$4:$A$465,0)),""))</f>
        <v>Wires and Terminations</v>
      </c>
      <c r="E43" s="2" t="str">
        <f aca="false">IF($A43="","",IFERROR(INDEX('MATERIALS DB'!$C$4:$C$465,MATCH($A43,'MATERIALS DB'!$A$4:$A$465,0)),""))</f>
        <v>IAN Solar</v>
      </c>
      <c r="F43" s="2" t="str">
        <f aca="false">IF($A43="","",IFERROR(INDEX('MATERIALS DB'!$F$4:$F$465,MATCH($A43,'MATERIALS DB'!$A$4:$A$465,0)),""))</f>
        <v>m</v>
      </c>
      <c r="G43" s="5" t="n">
        <f aca="false">IF($A43="",0,IFERROR(INDEX('MATERIALS DB'!$W$4:$W$465,MATCH($A43,'MATERIALS DB'!$A$4:$A$465,0)),0))</f>
        <v>94.6782217867565</v>
      </c>
      <c r="H43" s="6" t="n">
        <f aca="false">IF($A43="",0,IFERROR(INDEX('MATERIALS DB'!$Y$4:$Y$465,MATCH($A43,'MATERIALS DB'!$A$4:$A$465,0)),0))</f>
        <v>0.3</v>
      </c>
      <c r="I43" s="5" t="n">
        <f aca="false">B43*G43</f>
        <v>3313.73776253648</v>
      </c>
      <c r="J43" s="5" t="n">
        <f aca="false">I43*H43</f>
        <v>994.121328760943</v>
      </c>
      <c r="K43" s="5" t="n">
        <f aca="false">I43+J43</f>
        <v>4307.85909129742</v>
      </c>
      <c r="L43" s="7" t="n">
        <f aca="false">IF($A43="",0,IFERROR(B43*INDEX('MATERIALS DB'!$Q$4:$Q$465,MATCH($A43,'MATERIALS DB'!$A$4:$A$465,0))*(INDEX(SUPPLIERS!$F$3:$F$30,MATCH(E43,SUPPLIERS!$A$3:$A$30,0))&lt;&gt;"Yes"),0))</f>
        <v>0.00120166666666667</v>
      </c>
      <c r="M43" s="3" t="n">
        <f aca="false">IF($A43="",0,IFERROR(INDEX('MATERIALS DB'!$N$4:$N$465,MATCH($A43,'MATERIALS DB'!$A$4:$A$465,0)),0))</f>
        <v>0.103</v>
      </c>
      <c r="N43" s="8"/>
      <c r="O43" s="5" t="str">
        <f aca="false">IF(N43="","",N43-I43)</f>
        <v/>
      </c>
      <c r="Q43" s="2" t="n">
        <f aca="false">IF($A43="",0,IFERROR(INDEX('MATERIALS DB'!$K$4:$K$465,MATCH($A43,'MATERIALS DB'!$A$4:$A$465,0)),0))</f>
        <v>0</v>
      </c>
      <c r="R43" s="2" t="n">
        <f aca="false">IF($A43="",0,IF(OR(D43="All-in-one System",AND(D43="Inverter",OR(ISNUMBER(SEARCH("hybrid",C43)),ISNUMBER(SEARCH("off-grid",C43))))),1,0))</f>
        <v>0</v>
      </c>
    </row>
    <row r="44" customFormat="false" ht="15" hidden="false" customHeight="false" outlineLevel="0" collapsed="false">
      <c r="A44" s="2" t="s">
        <v>66</v>
      </c>
      <c r="B44" s="2" t="n">
        <v>2</v>
      </c>
      <c r="C44" s="2" t="str">
        <f aca="false">IF($A44="","",IFERROR(INDEX('MATERIALS DB'!$D$4:$D$465,MATCH($A44,'MATERIALS DB'!$A$4:$A$465,0)),"Code not found"))</f>
        <v>35mm2 - 1M w/ LUG PAIR</v>
      </c>
      <c r="D44" s="2" t="str">
        <f aca="false">IF($A44="","",IFERROR(INDEX('MATERIALS DB'!$B$4:$B$465,MATCH($A44,'MATERIALS DB'!$A$4:$A$465,0)),""))</f>
        <v>Wires and Terminations</v>
      </c>
      <c r="E44" s="2" t="str">
        <f aca="false">IF($A44="","",IFERROR(INDEX('MATERIALS DB'!$C$4:$C$465,MATCH($A44,'MATERIALS DB'!$A$4:$A$465,0)),""))</f>
        <v>One Point</v>
      </c>
      <c r="F44" s="2" t="str">
        <f aca="false">IF($A44="","",IFERROR(INDEX('MATERIALS DB'!$F$4:$F$465,MATCH($A44,'MATERIALS DB'!$A$4:$A$465,0)),""))</f>
        <v>pair</v>
      </c>
      <c r="G44" s="5" t="n">
        <f aca="false">IF($A44="",0,IFERROR(INDEX('MATERIALS DB'!$W$4:$W$465,MATCH($A44,'MATERIALS DB'!$A$4:$A$465,0)),0))</f>
        <v>1050.81324504636</v>
      </c>
      <c r="H44" s="6" t="n">
        <f aca="false">IF($A44="",0,IFERROR(INDEX('MATERIALS DB'!$Y$4:$Y$465,MATCH($A44,'MATERIALS DB'!$A$4:$A$465,0)),0))</f>
        <v>0.3</v>
      </c>
      <c r="I44" s="5" t="n">
        <f aca="false">B44*G44</f>
        <v>2101.62649009273</v>
      </c>
      <c r="J44" s="5" t="n">
        <f aca="false">I44*H44</f>
        <v>630.487947027819</v>
      </c>
      <c r="K44" s="5" t="n">
        <f aca="false">I44+J44</f>
        <v>2732.11443712055</v>
      </c>
      <c r="L44" s="7" t="n">
        <f aca="false">IF($A44="",0,IFERROR(B44*INDEX('MATERIALS DB'!$Q$4:$Q$465,MATCH($A44,'MATERIALS DB'!$A$4:$A$465,0))*(INDEX(SUPPLIERS!$F$3:$F$30,MATCH(E44,SUPPLIERS!$A$3:$A$30,0))&lt;&gt;"Yes"),0))</f>
        <v>0.000313333333333333</v>
      </c>
      <c r="M44" s="3" t="n">
        <f aca="false">IF($A44="",0,IFERROR(INDEX('MATERIALS DB'!$N$4:$N$465,MATCH($A44,'MATERIALS DB'!$A$4:$A$465,0)),0))</f>
        <v>0.47</v>
      </c>
      <c r="N44" s="8"/>
      <c r="O44" s="5" t="str">
        <f aca="false">IF(N44="","",N44-I44)</f>
        <v/>
      </c>
      <c r="Q44" s="2" t="n">
        <f aca="false">IF($A44="",0,IFERROR(INDEX('MATERIALS DB'!$K$4:$K$465,MATCH($A44,'MATERIALS DB'!$A$4:$A$465,0)),0))</f>
        <v>0</v>
      </c>
      <c r="R44" s="2" t="n">
        <f aca="false">IF($A44="",0,IF(OR(D44="All-in-one System",AND(D44="Inverter",OR(ISNUMBER(SEARCH("hybrid",C44)),ISNUMBER(SEARCH("off-grid",C44))))),1,0))</f>
        <v>0</v>
      </c>
    </row>
    <row r="45" customFormat="false" ht="15" hidden="false" customHeight="false" outlineLevel="0" collapsed="false">
      <c r="A45" s="2" t="s">
        <v>67</v>
      </c>
      <c r="B45" s="2" t="n">
        <v>4</v>
      </c>
      <c r="C45" s="2" t="str">
        <f aca="false">IF($A45="","",IFERROR(INDEX('MATERIALS DB'!$D$4:$D$465,MATCH($A45,'MATERIALS DB'!$A$4:$A$465,0)),"Code not found"))</f>
        <v>MC4 PAIR</v>
      </c>
      <c r="D45" s="2" t="str">
        <f aca="false">IF($A45="","",IFERROR(INDEX('MATERIALS DB'!$B$4:$B$465,MATCH($A45,'MATERIALS DB'!$A$4:$A$465,0)),""))</f>
        <v>Wires and Terminations</v>
      </c>
      <c r="E45" s="2" t="str">
        <f aca="false">IF($A45="","",IFERROR(INDEX('MATERIALS DB'!$C$4:$C$465,MATCH($A45,'MATERIALS DB'!$A$4:$A$465,0)),""))</f>
        <v>IAN Solar</v>
      </c>
      <c r="F45" s="2" t="str">
        <f aca="false">IF($A45="","",IFERROR(INDEX('MATERIALS DB'!$F$4:$F$465,MATCH($A45,'MATERIALS DB'!$A$4:$A$465,0)),""))</f>
        <v>pair</v>
      </c>
      <c r="G45" s="5" t="n">
        <f aca="false">IF($A45="",0,IFERROR(INDEX('MATERIALS DB'!$W$4:$W$465,MATCH($A45,'MATERIALS DB'!$A$4:$A$465,0)),0))</f>
        <v>42.036336480795</v>
      </c>
      <c r="H45" s="6" t="n">
        <f aca="false">IF($A45="",0,IFERROR(INDEX('MATERIALS DB'!$Y$4:$Y$465,MATCH($A45,'MATERIALS DB'!$A$4:$A$465,0)),0))</f>
        <v>0.3</v>
      </c>
      <c r="I45" s="5" t="n">
        <f aca="false">B45*G45</f>
        <v>168.14534592318</v>
      </c>
      <c r="J45" s="5" t="n">
        <f aca="false">I45*H45</f>
        <v>50.443603776954</v>
      </c>
      <c r="K45" s="5" t="n">
        <f aca="false">I45+J45</f>
        <v>218.588949700134</v>
      </c>
      <c r="L45" s="7" t="n">
        <f aca="false">IF($A45="",0,IFERROR(B45*INDEX('MATERIALS DB'!$Q$4:$Q$465,MATCH($A45,'MATERIALS DB'!$A$4:$A$465,0))*(INDEX(SUPPLIERS!$F$3:$F$30,MATCH(E45,SUPPLIERS!$A$3:$A$30,0))&lt;&gt;"Yes"),0))</f>
        <v>2.8E-005</v>
      </c>
      <c r="M45" s="3" t="n">
        <f aca="false">IF($A45="",0,IFERROR(INDEX('MATERIALS DB'!$N$4:$N$465,MATCH($A45,'MATERIALS DB'!$A$4:$A$465,0)),0))</f>
        <v>0.021</v>
      </c>
      <c r="N45" s="8"/>
      <c r="O45" s="5" t="str">
        <f aca="false">IF(N45="","",N45-I45)</f>
        <v/>
      </c>
      <c r="Q45" s="2" t="n">
        <f aca="false">IF($A45="",0,IFERROR(INDEX('MATERIALS DB'!$K$4:$K$465,MATCH($A45,'MATERIALS DB'!$A$4:$A$465,0)),0))</f>
        <v>0</v>
      </c>
      <c r="R45" s="2" t="n">
        <f aca="false">IF($A45="",0,IF(OR(D45="All-in-one System",AND(D45="Inverter",OR(ISNUMBER(SEARCH("hybrid",C45)),ISNUMBER(SEARCH("off-grid",C45))))),1,0))</f>
        <v>0</v>
      </c>
    </row>
    <row r="46" customFormat="false" ht="15" hidden="false" customHeight="false" outlineLevel="0" collapsed="false">
      <c r="A46" s="2" t="s">
        <v>68</v>
      </c>
      <c r="B46" s="2" t="n">
        <v>2</v>
      </c>
      <c r="C46" s="2" t="str">
        <f aca="false">IF($A46="","",IFERROR(INDEX('MATERIALS DB'!$D$4:$D$465,MATCH($A46,'MATERIALS DB'!$A$4:$A$465,0)),"Code not found"))</f>
        <v>SUNTREE DC BREAKER 2P 16A/25A 600V</v>
      </c>
      <c r="D46" s="2" t="str">
        <f aca="false">IF($A46="","",IFERROR(INDEX('MATERIALS DB'!$B$4:$B$465,MATCH($A46,'MATERIALS DB'!$A$4:$A$465,0)),""))</f>
        <v>Protective Devices</v>
      </c>
      <c r="E46" s="2" t="str">
        <f aca="false">IF($A46="","",IFERROR(INDEX('MATERIALS DB'!$C$4:$C$465,MATCH($A46,'MATERIALS DB'!$A$4:$A$465,0)),""))</f>
        <v>IAN Solar</v>
      </c>
      <c r="F46" s="2" t="str">
        <f aca="false">IF($A46="","",IFERROR(INDEX('MATERIALS DB'!$F$4:$F$465,MATCH($A46,'MATERIALS DB'!$A$4:$A$465,0)),""))</f>
        <v>pc</v>
      </c>
      <c r="G46" s="5" t="n">
        <f aca="false">IF($A46="",0,IFERROR(INDEX('MATERIALS DB'!$W$4:$W$465,MATCH($A46,'MATERIALS DB'!$A$4:$A$465,0)),0))</f>
        <v>500.449880238414</v>
      </c>
      <c r="H46" s="6" t="n">
        <f aca="false">IF($A46="",0,IFERROR(INDEX('MATERIALS DB'!$Y$4:$Y$465,MATCH($A46,'MATERIALS DB'!$A$4:$A$465,0)),0))</f>
        <v>0.3</v>
      </c>
      <c r="I46" s="5" t="n">
        <f aca="false">B46*G46</f>
        <v>1000.89976047683</v>
      </c>
      <c r="J46" s="5" t="n">
        <f aca="false">I46*H46</f>
        <v>300.269928143049</v>
      </c>
      <c r="K46" s="5" t="n">
        <f aca="false">I46+J46</f>
        <v>1301.16968861988</v>
      </c>
      <c r="L46" s="7" t="n">
        <f aca="false">IF($A46="",0,IFERROR(B46*INDEX('MATERIALS DB'!$Q$4:$Q$465,MATCH($A46,'MATERIALS DB'!$A$4:$A$465,0))*(INDEX(SUPPLIERS!$F$3:$F$30,MATCH(E46,SUPPLIERS!$A$3:$A$30,0))&lt;&gt;"Yes"),0))</f>
        <v>0.000173333333333333</v>
      </c>
      <c r="M46" s="3" t="n">
        <f aca="false">IF($A46="",0,IFERROR(INDEX('MATERIALS DB'!$N$4:$N$465,MATCH($A46,'MATERIALS DB'!$A$4:$A$465,0)),0))</f>
        <v>0.26</v>
      </c>
      <c r="N46" s="8"/>
      <c r="O46" s="5" t="str">
        <f aca="false">IF(N46="","",N46-I46)</f>
        <v/>
      </c>
      <c r="Q46" s="2" t="n">
        <f aca="false">IF($A46="",0,IFERROR(INDEX('MATERIALS DB'!$K$4:$K$465,MATCH($A46,'MATERIALS DB'!$A$4:$A$465,0)),0))</f>
        <v>0</v>
      </c>
      <c r="R46" s="2" t="n">
        <f aca="false">IF($A46="",0,IF(OR(D46="All-in-one System",AND(D46="Inverter",OR(ISNUMBER(SEARCH("hybrid",C46)),ISNUMBER(SEARCH("off-grid",C46))))),1,0))</f>
        <v>0</v>
      </c>
    </row>
    <row r="47" customFormat="false" ht="15" hidden="false" customHeight="false" outlineLevel="0" collapsed="false">
      <c r="A47" s="2" t="s">
        <v>69</v>
      </c>
      <c r="B47" s="2" t="n">
        <v>1</v>
      </c>
      <c r="C47" s="2" t="str">
        <f aca="false">IF($A47="","",IFERROR(INDEX('MATERIALS DB'!$D$4:$D$465,MATCH($A47,'MATERIALS DB'!$A$4:$A$465,0)),"Code not found"))</f>
        <v>SUNTREE DC SPD 2P 600V</v>
      </c>
      <c r="D47" s="2" t="str">
        <f aca="false">IF($A47="","",IFERROR(INDEX('MATERIALS DB'!$B$4:$B$465,MATCH($A47,'MATERIALS DB'!$A$4:$A$465,0)),""))</f>
        <v>Protective Devices</v>
      </c>
      <c r="E47" s="2" t="str">
        <f aca="false">IF($A47="","",IFERROR(INDEX('MATERIALS DB'!$C$4:$C$465,MATCH($A47,'MATERIALS DB'!$A$4:$A$465,0)),""))</f>
        <v>IAN Solar</v>
      </c>
      <c r="F47" s="2" t="str">
        <f aca="false">IF($A47="","",IFERROR(INDEX('MATERIALS DB'!$F$4:$F$465,MATCH($A47,'MATERIALS DB'!$A$4:$A$465,0)),""))</f>
        <v>pc</v>
      </c>
      <c r="G47" s="5" t="n">
        <f aca="false">IF($A47="",0,IFERROR(INDEX('MATERIALS DB'!$W$4:$W$465,MATCH($A47,'MATERIALS DB'!$A$4:$A$465,0)),0))</f>
        <v>1000.51909258279</v>
      </c>
      <c r="H47" s="6" t="n">
        <f aca="false">IF($A47="",0,IFERROR(INDEX('MATERIALS DB'!$Y$4:$Y$465,MATCH($A47,'MATERIALS DB'!$A$4:$A$465,0)),0))</f>
        <v>0.3</v>
      </c>
      <c r="I47" s="5" t="n">
        <f aca="false">B47*G47</f>
        <v>1000.51909258279</v>
      </c>
      <c r="J47" s="5" t="n">
        <f aca="false">I47*H47</f>
        <v>300.155727774836</v>
      </c>
      <c r="K47" s="5" t="n">
        <f aca="false">I47+J47</f>
        <v>1300.67482035762</v>
      </c>
      <c r="L47" s="7" t="n">
        <f aca="false">IF($A47="",0,IFERROR(B47*INDEX('MATERIALS DB'!$Q$4:$Q$465,MATCH($A47,'MATERIALS DB'!$A$4:$A$465,0))*(INDEX(SUPPLIERS!$F$3:$F$30,MATCH(E47,SUPPLIERS!$A$3:$A$30,0))&lt;&gt;"Yes"),0))</f>
        <v>1E-004</v>
      </c>
      <c r="M47" s="3" t="n">
        <f aca="false">IF($A47="",0,IFERROR(INDEX('MATERIALS DB'!$N$4:$N$465,MATCH($A47,'MATERIALS DB'!$A$4:$A$465,0)),0))</f>
        <v>0.3</v>
      </c>
      <c r="N47" s="8"/>
      <c r="O47" s="5" t="str">
        <f aca="false">IF(N47="","",N47-I47)</f>
        <v/>
      </c>
      <c r="Q47" s="2" t="n">
        <f aca="false">IF($A47="",0,IFERROR(INDEX('MATERIALS DB'!$K$4:$K$465,MATCH($A47,'MATERIALS DB'!$A$4:$A$465,0)),0))</f>
        <v>0</v>
      </c>
      <c r="R47" s="2" t="n">
        <f aca="false">IF($A47="",0,IF(OR(D47="All-in-one System",AND(D47="Inverter",OR(ISNUMBER(SEARCH("hybrid",C47)),ISNUMBER(SEARCH("off-grid",C47))))),1,0))</f>
        <v>0</v>
      </c>
    </row>
    <row r="48" customFormat="false" ht="15" hidden="false" customHeight="false" outlineLevel="0" collapsed="false">
      <c r="A48" s="2" t="s">
        <v>70</v>
      </c>
      <c r="B48" s="2" t="n">
        <v>1</v>
      </c>
      <c r="C48" s="2" t="str">
        <f aca="false">IF($A48="","",IFERROR(INDEX('MATERIALS DB'!$D$4:$D$465,MATCH($A48,'MATERIALS DB'!$A$4:$A$465,0)),"Code not found"))</f>
        <v>SUNTREE DC BATTERY BREAKER 2P 250A 500V</v>
      </c>
      <c r="D48" s="2" t="str">
        <f aca="false">IF($A48="","",IFERROR(INDEX('MATERIALS DB'!$B$4:$B$465,MATCH($A48,'MATERIALS DB'!$A$4:$A$465,0)),""))</f>
        <v>Protective Devices</v>
      </c>
      <c r="E48" s="2" t="str">
        <f aca="false">IF($A48="","",IFERROR(INDEX('MATERIALS DB'!$C$4:$C$465,MATCH($A48,'MATERIALS DB'!$A$4:$A$465,0)),""))</f>
        <v>IAN Solar</v>
      </c>
      <c r="F48" s="2" t="str">
        <f aca="false">IF($A48="","",IFERROR(INDEX('MATERIALS DB'!$F$4:$F$465,MATCH($A48,'MATERIALS DB'!$A$4:$A$465,0)),""))</f>
        <v>pc</v>
      </c>
      <c r="G48" s="5" t="n">
        <f aca="false">IF($A48="",0,IFERROR(INDEX('MATERIALS DB'!$W$4:$W$465,MATCH($A48,'MATERIALS DB'!$A$4:$A$465,0)),0))</f>
        <v>2405.19092582786</v>
      </c>
      <c r="H48" s="6" t="n">
        <f aca="false">IF($A48="",0,IFERROR(INDEX('MATERIALS DB'!$Y$4:$Y$465,MATCH($A48,'MATERIALS DB'!$A$4:$A$465,0)),0))</f>
        <v>0.3</v>
      </c>
      <c r="I48" s="5" t="n">
        <f aca="false">B48*G48</f>
        <v>2405.19092582786</v>
      </c>
      <c r="J48" s="5" t="n">
        <f aca="false">I48*H48</f>
        <v>721.557277748358</v>
      </c>
      <c r="K48" s="5" t="n">
        <f aca="false">I48+J48</f>
        <v>3126.74820357622</v>
      </c>
      <c r="L48" s="7" t="n">
        <f aca="false">IF($A48="",0,IFERROR(B48*INDEX('MATERIALS DB'!$Q$4:$Q$465,MATCH($A48,'MATERIALS DB'!$A$4:$A$465,0))*(INDEX(SUPPLIERS!$F$3:$F$30,MATCH(E48,SUPPLIERS!$A$3:$A$30,0))&lt;&gt;"Yes"),0))</f>
        <v>0.001</v>
      </c>
      <c r="M48" s="3" t="n">
        <f aca="false">IF($A48="",0,IFERROR(INDEX('MATERIALS DB'!$N$4:$N$465,MATCH($A48,'MATERIALS DB'!$A$4:$A$465,0)),0))</f>
        <v>3</v>
      </c>
      <c r="N48" s="8"/>
      <c r="O48" s="5" t="str">
        <f aca="false">IF(N48="","",N48-I48)</f>
        <v/>
      </c>
      <c r="Q48" s="2" t="n">
        <f aca="false">IF($A48="",0,IFERROR(INDEX('MATERIALS DB'!$K$4:$K$465,MATCH($A48,'MATERIALS DB'!$A$4:$A$465,0)),0))</f>
        <v>0</v>
      </c>
      <c r="R48" s="2" t="n">
        <f aca="false">IF($A48="",0,IF(OR(D48="All-in-one System",AND(D48="Inverter",OR(ISNUMBER(SEARCH("hybrid",C48)),ISNUMBER(SEARCH("off-grid",C48))))),1,0))</f>
        <v>0</v>
      </c>
    </row>
    <row r="49" customFormat="false" ht="15" hidden="false" customHeight="false" outlineLevel="0" collapsed="false">
      <c r="A49" s="2" t="s">
        <v>71</v>
      </c>
      <c r="B49" s="2" t="n">
        <v>1</v>
      </c>
      <c r="C49" s="2" t="str">
        <f aca="false">IF($A49="","",IFERROR(INDEX('MATERIALS DB'!$D$4:$D$465,MATCH($A49,'MATERIALS DB'!$A$4:$A$465,0)),"Code not found"))</f>
        <v>AC-2P-ATS-690V-63A - MINI</v>
      </c>
      <c r="D49" s="2" t="str">
        <f aca="false">IF($A49="","",IFERROR(INDEX('MATERIALS DB'!$B$4:$B$465,MATCH($A49,'MATERIALS DB'!$A$4:$A$465,0)),""))</f>
        <v>Protective Devices</v>
      </c>
      <c r="E49" s="2" t="str">
        <f aca="false">IF($A49="","",IFERROR(INDEX('MATERIALS DB'!$C$4:$C$465,MATCH($A49,'MATERIALS DB'!$A$4:$A$465,0)),""))</f>
        <v>One Point</v>
      </c>
      <c r="F49" s="2" t="str">
        <f aca="false">IF($A49="","",IFERROR(INDEX('MATERIALS DB'!$F$4:$F$465,MATCH($A49,'MATERIALS DB'!$A$4:$A$465,0)),""))</f>
        <v>pc</v>
      </c>
      <c r="G49" s="5" t="n">
        <f aca="false">IF($A49="",0,IFERROR(INDEX('MATERIALS DB'!$W$4:$W$465,MATCH($A49,'MATERIALS DB'!$A$4:$A$465,0)),0))</f>
        <v>2001.47076231789</v>
      </c>
      <c r="H49" s="6" t="n">
        <f aca="false">IF($A49="",0,IFERROR(INDEX('MATERIALS DB'!$Y$4:$Y$465,MATCH($A49,'MATERIALS DB'!$A$4:$A$465,0)),0))</f>
        <v>0.3</v>
      </c>
      <c r="I49" s="5" t="n">
        <f aca="false">B49*G49</f>
        <v>2001.47076231789</v>
      </c>
      <c r="J49" s="5" t="n">
        <f aca="false">I49*H49</f>
        <v>600.441228695368</v>
      </c>
      <c r="K49" s="5" t="n">
        <f aca="false">I49+J49</f>
        <v>2601.91199101326</v>
      </c>
      <c r="L49" s="7" t="n">
        <f aca="false">IF($A49="",0,IFERROR(B49*INDEX('MATERIALS DB'!$Q$4:$Q$465,MATCH($A49,'MATERIALS DB'!$A$4:$A$465,0))*(INDEX(SUPPLIERS!$F$3:$F$30,MATCH(E49,SUPPLIERS!$A$3:$A$30,0))&lt;&gt;"Yes"),0))</f>
        <v>0.000283333333333333</v>
      </c>
      <c r="M49" s="3" t="n">
        <f aca="false">IF($A49="",0,IFERROR(INDEX('MATERIALS DB'!$N$4:$N$465,MATCH($A49,'MATERIALS DB'!$A$4:$A$465,0)),0))</f>
        <v>0.85</v>
      </c>
      <c r="N49" s="8"/>
      <c r="O49" s="5" t="str">
        <f aca="false">IF(N49="","",N49-I49)</f>
        <v/>
      </c>
      <c r="Q49" s="2" t="n">
        <f aca="false">IF($A49="",0,IFERROR(INDEX('MATERIALS DB'!$K$4:$K$465,MATCH($A49,'MATERIALS DB'!$A$4:$A$465,0)),0))</f>
        <v>0</v>
      </c>
      <c r="R49" s="2" t="n">
        <f aca="false">IF($A49="",0,IF(OR(D49="All-in-one System",AND(D49="Inverter",OR(ISNUMBER(SEARCH("hybrid",C49)),ISNUMBER(SEARCH("off-grid",C49))))),1,0))</f>
        <v>0</v>
      </c>
    </row>
    <row r="50" customFormat="false" ht="15" hidden="false" customHeight="false" outlineLevel="0" collapsed="false">
      <c r="A50" s="2" t="s">
        <v>72</v>
      </c>
      <c r="B50" s="2" t="n">
        <v>4</v>
      </c>
      <c r="C50" s="2" t="str">
        <f aca="false">IF($A50="","",IFERROR(INDEX('MATERIALS DB'!$D$4:$D$465,MATCH($A50,'MATERIALS DB'!$A$4:$A$465,0)),"Code not found"))</f>
        <v>SUNTREE AC BREAKER 2P 32A/63A 400V</v>
      </c>
      <c r="D50" s="2" t="str">
        <f aca="false">IF($A50="","",IFERROR(INDEX('MATERIALS DB'!$B$4:$B$465,MATCH($A50,'MATERIALS DB'!$A$4:$A$465,0)),""))</f>
        <v>Protective Devices</v>
      </c>
      <c r="E50" s="2" t="str">
        <f aca="false">IF($A50="","",IFERROR(INDEX('MATERIALS DB'!$C$4:$C$465,MATCH($A50,'MATERIALS DB'!$A$4:$A$465,0)),""))</f>
        <v>IAN Solar</v>
      </c>
      <c r="F50" s="2" t="str">
        <f aca="false">IF($A50="","",IFERROR(INDEX('MATERIALS DB'!$F$4:$F$465,MATCH($A50,'MATERIALS DB'!$A$4:$A$465,0)),""))</f>
        <v>pc</v>
      </c>
      <c r="G50" s="5" t="n">
        <f aca="false">IF($A50="",0,IFERROR(INDEX('MATERIALS DB'!$W$4:$W$465,MATCH($A50,'MATERIALS DB'!$A$4:$A$465,0)),0))</f>
        <v>250.4844864106</v>
      </c>
      <c r="H50" s="6" t="n">
        <f aca="false">IF($A50="",0,IFERROR(INDEX('MATERIALS DB'!$Y$4:$Y$465,MATCH($A50,'MATERIALS DB'!$A$4:$A$465,0)),0))</f>
        <v>0.3</v>
      </c>
      <c r="I50" s="5" t="n">
        <f aca="false">B50*G50</f>
        <v>1001.9379456424</v>
      </c>
      <c r="J50" s="5" t="n">
        <f aca="false">I50*H50</f>
        <v>300.58138369272</v>
      </c>
      <c r="K50" s="5" t="n">
        <f aca="false">I50+J50</f>
        <v>1302.51932933512</v>
      </c>
      <c r="L50" s="7" t="n">
        <f aca="false">IF($A50="",0,IFERROR(B50*INDEX('MATERIALS DB'!$Q$4:$Q$465,MATCH($A50,'MATERIALS DB'!$A$4:$A$465,0))*(INDEX(SUPPLIERS!$F$3:$F$30,MATCH(E50,SUPPLIERS!$A$3:$A$30,0))&lt;&gt;"Yes"),0))</f>
        <v>0.000373333333333333</v>
      </c>
      <c r="M50" s="3" t="n">
        <f aca="false">IF($A50="",0,IFERROR(INDEX('MATERIALS DB'!$N$4:$N$465,MATCH($A50,'MATERIALS DB'!$A$4:$A$465,0)),0))</f>
        <v>0.28</v>
      </c>
      <c r="N50" s="8"/>
      <c r="O50" s="5" t="str">
        <f aca="false">IF(N50="","",N50-I50)</f>
        <v/>
      </c>
      <c r="Q50" s="2" t="n">
        <f aca="false">IF($A50="",0,IFERROR(INDEX('MATERIALS DB'!$K$4:$K$465,MATCH($A50,'MATERIALS DB'!$A$4:$A$465,0)),0))</f>
        <v>0</v>
      </c>
      <c r="R50" s="2" t="n">
        <f aca="false">IF($A50="",0,IF(OR(D50="All-in-one System",AND(D50="Inverter",OR(ISNUMBER(SEARCH("hybrid",C50)),ISNUMBER(SEARCH("off-grid",C50))))),1,0))</f>
        <v>0</v>
      </c>
    </row>
    <row r="51" customFormat="false" ht="15" hidden="false" customHeight="false" outlineLevel="0" collapsed="false">
      <c r="A51" s="2" t="s">
        <v>73</v>
      </c>
      <c r="B51" s="2" t="n">
        <v>4</v>
      </c>
      <c r="C51" s="2" t="str">
        <f aca="false">IF($A51="","",IFERROR(INDEX('MATERIALS DB'!$D$4:$D$465,MATCH($A51,'MATERIALS DB'!$A$4:$A$465,0)),"Code not found"))</f>
        <v>SUNTREE AC SPD 2P 275V</v>
      </c>
      <c r="D51" s="2" t="str">
        <f aca="false">IF($A51="","",IFERROR(INDEX('MATERIALS DB'!$B$4:$B$465,MATCH($A51,'MATERIALS DB'!$A$4:$A$465,0)),""))</f>
        <v>Protective Devices</v>
      </c>
      <c r="E51" s="2" t="str">
        <f aca="false">IF($A51="","",IFERROR(INDEX('MATERIALS DB'!$C$4:$C$465,MATCH($A51,'MATERIALS DB'!$A$4:$A$465,0)),""))</f>
        <v>IAN Solar</v>
      </c>
      <c r="F51" s="2" t="str">
        <f aca="false">IF($A51="","",IFERROR(INDEX('MATERIALS DB'!$F$4:$F$465,MATCH($A51,'MATERIALS DB'!$A$4:$A$465,0)),""))</f>
        <v>pc</v>
      </c>
      <c r="G51" s="5" t="n">
        <f aca="false">IF($A51="",0,IFERROR(INDEX('MATERIALS DB'!$W$4:$W$465,MATCH($A51,'MATERIALS DB'!$A$4:$A$465,0)),0))</f>
        <v>400.519092582786</v>
      </c>
      <c r="H51" s="6" t="n">
        <f aca="false">IF($A51="",0,IFERROR(INDEX('MATERIALS DB'!$Y$4:$Y$465,MATCH($A51,'MATERIALS DB'!$A$4:$A$465,0)),0))</f>
        <v>0.3</v>
      </c>
      <c r="I51" s="5" t="n">
        <f aca="false">B51*G51</f>
        <v>1602.07637033114</v>
      </c>
      <c r="J51" s="5" t="n">
        <f aca="false">I51*H51</f>
        <v>480.622911099343</v>
      </c>
      <c r="K51" s="5" t="n">
        <f aca="false">I51+J51</f>
        <v>2082.69928143049</v>
      </c>
      <c r="L51" s="7" t="n">
        <f aca="false">IF($A51="",0,IFERROR(B51*INDEX('MATERIALS DB'!$Q$4:$Q$465,MATCH($A51,'MATERIALS DB'!$A$4:$A$465,0))*(INDEX(SUPPLIERS!$F$3:$F$30,MATCH(E51,SUPPLIERS!$A$3:$A$30,0))&lt;&gt;"Yes"),0))</f>
        <v>0.0004</v>
      </c>
      <c r="M51" s="3" t="n">
        <f aca="false">IF($A51="",0,IFERROR(INDEX('MATERIALS DB'!$N$4:$N$465,MATCH($A51,'MATERIALS DB'!$A$4:$A$465,0)),0))</f>
        <v>0.3</v>
      </c>
      <c r="N51" s="8"/>
      <c r="O51" s="5" t="str">
        <f aca="false">IF(N51="","",N51-I51)</f>
        <v/>
      </c>
      <c r="Q51" s="2" t="n">
        <f aca="false">IF($A51="",0,IFERROR(INDEX('MATERIALS DB'!$K$4:$K$465,MATCH($A51,'MATERIALS DB'!$A$4:$A$465,0)),0))</f>
        <v>0</v>
      </c>
      <c r="R51" s="2" t="n">
        <f aca="false">IF($A51="",0,IF(OR(D51="All-in-one System",AND(D51="Inverter",OR(ISNUMBER(SEARCH("hybrid",C51)),ISNUMBER(SEARCH("off-grid",C51))))),1,0))</f>
        <v>0</v>
      </c>
    </row>
    <row r="52" customFormat="false" ht="15" hidden="false" customHeight="false" outlineLevel="0" collapsed="false">
      <c r="A52" s="2" t="s">
        <v>74</v>
      </c>
      <c r="B52" s="2" t="n">
        <v>2</v>
      </c>
      <c r="C52" s="2" t="str">
        <f aca="false">IF($A52="","",IFERROR(INDEX('MATERIALS DB'!$D$4:$D$465,MATCH($A52,'MATERIALS DB'!$A$4:$A$465,0)),"Code not found"))</f>
        <v>METAL ENCLOSURE 50X40X20</v>
      </c>
      <c r="D52" s="2" t="str">
        <f aca="false">IF($A52="","",IFERROR(INDEX('MATERIALS DB'!$B$4:$B$465,MATCH($A52,'MATERIALS DB'!$A$4:$A$465,0)),""))</f>
        <v>Enclosures and Raceways</v>
      </c>
      <c r="E52" s="2" t="str">
        <f aca="false">IF($A52="","",IFERROR(INDEX('MATERIALS DB'!$C$4:$C$465,MATCH($A52,'MATERIALS DB'!$A$4:$A$465,0)),""))</f>
        <v>One Point</v>
      </c>
      <c r="F52" s="2" t="str">
        <f aca="false">IF($A52="","",IFERROR(INDEX('MATERIALS DB'!$F$4:$F$465,MATCH($A52,'MATERIALS DB'!$A$4:$A$465,0)),""))</f>
        <v>pc</v>
      </c>
      <c r="G52" s="5" t="n">
        <f aca="false">IF($A52="",0,IFERROR(INDEX('MATERIALS DB'!$W$4:$W$465,MATCH($A52,'MATERIALS DB'!$A$4:$A$465,0)),0))</f>
        <v>2122.49960457607</v>
      </c>
      <c r="H52" s="6" t="n">
        <f aca="false">IF($A52="",0,IFERROR(INDEX('MATERIALS DB'!$Y$4:$Y$465,MATCH($A52,'MATERIALS DB'!$A$4:$A$465,0)),0))</f>
        <v>0.3</v>
      </c>
      <c r="I52" s="5" t="n">
        <f aca="false">B52*G52</f>
        <v>4244.99920915214</v>
      </c>
      <c r="J52" s="5" t="n">
        <f aca="false">I52*H52</f>
        <v>1273.49976274564</v>
      </c>
      <c r="K52" s="5" t="n">
        <f aca="false">I52+J52</f>
        <v>5518.49897189778</v>
      </c>
      <c r="L52" s="7" t="n">
        <f aca="false">IF($A52="",0,IFERROR(B52*INDEX('MATERIALS DB'!$Q$4:$Q$465,MATCH($A52,'MATERIALS DB'!$A$4:$A$465,0))*(INDEX(SUPPLIERS!$F$3:$F$30,MATCH(E52,SUPPLIERS!$A$3:$A$30,0))&lt;&gt;"Yes"),0))</f>
        <v>0.00866882144811909</v>
      </c>
      <c r="M52" s="3" t="n">
        <f aca="false">IF($A52="",0,IFERROR(INDEX('MATERIALS DB'!$N$4:$N$465,MATCH($A52,'MATERIALS DB'!$A$4:$A$465,0)),0))</f>
        <v>11.2</v>
      </c>
      <c r="N52" s="8"/>
      <c r="O52" s="5" t="str">
        <f aca="false">IF(N52="","",N52-I52)</f>
        <v/>
      </c>
      <c r="Q52" s="2" t="n">
        <f aca="false">IF($A52="",0,IFERROR(INDEX('MATERIALS DB'!$K$4:$K$465,MATCH($A52,'MATERIALS DB'!$A$4:$A$465,0)),0))</f>
        <v>0</v>
      </c>
      <c r="R52" s="2" t="n">
        <f aca="false">IF($A52="",0,IF(OR(D52="All-in-one System",AND(D52="Inverter",OR(ISNUMBER(SEARCH("hybrid",C52)),ISNUMBER(SEARCH("off-grid",C52))))),1,0))</f>
        <v>0</v>
      </c>
    </row>
    <row r="53" customFormat="false" ht="15" hidden="false" customHeight="false" outlineLevel="0" collapsed="false">
      <c r="A53" s="2" t="s">
        <v>75</v>
      </c>
      <c r="B53" s="2" t="n">
        <v>1</v>
      </c>
      <c r="C53" s="2" t="str">
        <f aca="false">IF($A53="","",IFERROR(INDEX('MATERIALS DB'!$D$4:$D$465,MATCH($A53,'MATERIALS DB'!$A$4:$A$465,0)),"Code not found"))</f>
        <v>Cable TRAY 60*60 - 2METER</v>
      </c>
      <c r="D53" s="2" t="str">
        <f aca="false">IF($A53="","",IFERROR(INDEX('MATERIALS DB'!$B$4:$B$465,MATCH($A53,'MATERIALS DB'!$A$4:$A$465,0)),""))</f>
        <v>Enclosures and Raceways</v>
      </c>
      <c r="E53" s="2" t="str">
        <f aca="false">IF($A53="","",IFERROR(INDEX('MATERIALS DB'!$C$4:$C$465,MATCH($A53,'MATERIALS DB'!$A$4:$A$465,0)),""))</f>
        <v>One Point</v>
      </c>
      <c r="F53" s="2" t="str">
        <f aca="false">IF($A53="","",IFERROR(INDEX('MATERIALS DB'!$F$4:$F$465,MATCH($A53,'MATERIALS DB'!$A$4:$A$465,0)),""))</f>
        <v>pc</v>
      </c>
      <c r="G53" s="5" t="n">
        <f aca="false">IF($A53="",0,IFERROR(INDEX('MATERIALS DB'!$W$4:$W$465,MATCH($A53,'MATERIALS DB'!$A$4:$A$465,0)),0))</f>
        <v>422.618347388843</v>
      </c>
      <c r="H53" s="6" t="n">
        <f aca="false">IF($A53="",0,IFERROR(INDEX('MATERIALS DB'!$Y$4:$Y$465,MATCH($A53,'MATERIALS DB'!$A$4:$A$465,0)),0))</f>
        <v>0.3</v>
      </c>
      <c r="I53" s="5" t="n">
        <f aca="false">B53*G53</f>
        <v>422.618347388843</v>
      </c>
      <c r="J53" s="5" t="n">
        <f aca="false">I53*H53</f>
        <v>126.785504216653</v>
      </c>
      <c r="K53" s="5" t="n">
        <f aca="false">I53+J53</f>
        <v>549.403851605496</v>
      </c>
      <c r="L53" s="7" t="n">
        <f aca="false">IF($A53="",0,IFERROR(B53*INDEX('MATERIALS DB'!$Q$4:$Q$465,MATCH($A53,'MATERIALS DB'!$A$4:$A$465,0))*(INDEX(SUPPLIERS!$F$3:$F$30,MATCH(E53,SUPPLIERS!$A$3:$A$30,0))&lt;&gt;"Yes"),0))</f>
        <v>0.000504408553632273</v>
      </c>
      <c r="M53" s="3" t="n">
        <f aca="false">IF($A53="",0,IFERROR(INDEX('MATERIALS DB'!$N$4:$N$465,MATCH($A53,'MATERIALS DB'!$A$4:$A$465,0)),0))</f>
        <v>1</v>
      </c>
      <c r="N53" s="8"/>
      <c r="O53" s="5" t="str">
        <f aca="false">IF(N53="","",N53-I53)</f>
        <v/>
      </c>
      <c r="Q53" s="2" t="n">
        <f aca="false">IF($A53="",0,IFERROR(INDEX('MATERIALS DB'!$K$4:$K$465,MATCH($A53,'MATERIALS DB'!$A$4:$A$465,0)),0))</f>
        <v>0</v>
      </c>
      <c r="R53" s="2" t="n">
        <f aca="false">IF($A53="",0,IF(OR(D53="All-in-one System",AND(D53="Inverter",OR(ISNUMBER(SEARCH("hybrid",C53)),ISNUMBER(SEARCH("off-grid",C53))))),1,0))</f>
        <v>0</v>
      </c>
    </row>
    <row r="54" customFormat="false" ht="15" hidden="false" customHeight="false" outlineLevel="0" collapsed="false">
      <c r="A54" s="2" t="s">
        <v>76</v>
      </c>
      <c r="B54" s="2" t="n">
        <v>30</v>
      </c>
      <c r="C54" s="2" t="str">
        <f aca="false">IF($A54="","",IFERROR(INDEX('MATERIALS DB'!$D$4:$D$465,MATCH($A54,'MATERIALS DB'!$A$4:$A$465,0)),"Code not found"))</f>
        <v>FLEX CONDUIT 32mm</v>
      </c>
      <c r="D54" s="2" t="str">
        <f aca="false">IF($A54="","",IFERROR(INDEX('MATERIALS DB'!$B$4:$B$465,MATCH($A54,'MATERIALS DB'!$A$4:$A$465,0)),""))</f>
        <v>Enclosures and Raceways</v>
      </c>
      <c r="E54" s="2" t="str">
        <f aca="false">IF($A54="","",IFERROR(INDEX('MATERIALS DB'!$C$4:$C$465,MATCH($A54,'MATERIALS DB'!$A$4:$A$465,0)),""))</f>
        <v>IAN Solar</v>
      </c>
      <c r="F54" s="2" t="str">
        <f aca="false">IF($A54="","",IFERROR(INDEX('MATERIALS DB'!$F$4:$F$465,MATCH($A54,'MATERIALS DB'!$A$4:$A$465,0)),""))</f>
        <v>m</v>
      </c>
      <c r="G54" s="5" t="n">
        <f aca="false">IF($A54="",0,IFERROR(INDEX('MATERIALS DB'!$W$4:$W$465,MATCH($A54,'MATERIALS DB'!$A$4:$A$465,0)),0))</f>
        <v>105.224940119207</v>
      </c>
      <c r="H54" s="6" t="n">
        <f aca="false">IF($A54="",0,IFERROR(INDEX('MATERIALS DB'!$Y$4:$Y$465,MATCH($A54,'MATERIALS DB'!$A$4:$A$465,0)),0))</f>
        <v>0.3</v>
      </c>
      <c r="I54" s="5" t="n">
        <f aca="false">B54*G54</f>
        <v>3156.74820357622</v>
      </c>
      <c r="J54" s="5" t="n">
        <f aca="false">I54*H54</f>
        <v>947.024461072865</v>
      </c>
      <c r="K54" s="5" t="n">
        <f aca="false">I54+J54</f>
        <v>4103.77266464908</v>
      </c>
      <c r="L54" s="7" t="n">
        <f aca="false">IF($A54="",0,IFERROR(B54*INDEX('MATERIALS DB'!$Q$4:$Q$465,MATCH($A54,'MATERIALS DB'!$A$4:$A$465,0))*(INDEX(SUPPLIERS!$F$3:$F$30,MATCH(E54,SUPPLIERS!$A$3:$A$30,0))&lt;&gt;"Yes"),0))</f>
        <v>0.0013</v>
      </c>
      <c r="M54" s="3" t="n">
        <f aca="false">IF($A54="",0,IFERROR(INDEX('MATERIALS DB'!$N$4:$N$465,MATCH($A54,'MATERIALS DB'!$A$4:$A$465,0)),0))</f>
        <v>0.13</v>
      </c>
      <c r="N54" s="8"/>
      <c r="O54" s="5" t="str">
        <f aca="false">IF(N54="","",N54-I54)</f>
        <v/>
      </c>
      <c r="Q54" s="2" t="n">
        <f aca="false">IF($A54="",0,IFERROR(INDEX('MATERIALS DB'!$K$4:$K$465,MATCH($A54,'MATERIALS DB'!$A$4:$A$465,0)),0))</f>
        <v>0</v>
      </c>
      <c r="R54" s="2" t="n">
        <f aca="false">IF($A54="",0,IF(OR(D54="All-in-one System",AND(D54="Inverter",OR(ISNUMBER(SEARCH("hybrid",C54)),ISNUMBER(SEARCH("off-grid",C54))))),1,0))</f>
        <v>0</v>
      </c>
    </row>
    <row r="55" customFormat="false" ht="15" hidden="false" customHeight="false" outlineLevel="0" collapsed="false">
      <c r="A55" s="2" t="s">
        <v>77</v>
      </c>
      <c r="B55" s="2" t="n">
        <v>1</v>
      </c>
      <c r="C55" s="2" t="str">
        <f aca="false">IF($A55="","",IFERROR(INDEX('MATERIALS DB'!$D$4:$D$465,MATCH($A55,'MATERIALS DB'!$A$4:$A$465,0)),"Code not found"))</f>
        <v>GROUNDING ROD 3METER 16MM</v>
      </c>
      <c r="D55" s="2" t="str">
        <f aca="false">IF($A55="","",IFERROR(INDEX('MATERIALS DB'!$B$4:$B$465,MATCH($A55,'MATERIALS DB'!$A$4:$A$465,0)),""))</f>
        <v>Grounding</v>
      </c>
      <c r="E55" s="2" t="str">
        <f aca="false">IF($A55="","",IFERROR(INDEX('MATERIALS DB'!$C$4:$C$465,MATCH($A55,'MATERIALS DB'!$A$4:$A$465,0)),""))</f>
        <v>One Point</v>
      </c>
      <c r="F55" s="2" t="str">
        <f aca="false">IF($A55="","",IFERROR(INDEX('MATERIALS DB'!$F$4:$F$465,MATCH($A55,'MATERIALS DB'!$A$4:$A$465,0)),""))</f>
        <v>pc</v>
      </c>
      <c r="G55" s="5" t="n">
        <f aca="false">IF($A55="",0,IFERROR(INDEX('MATERIALS DB'!$W$4:$W$465,MATCH($A55,'MATERIALS DB'!$A$4:$A$465,0)),0))</f>
        <v>1232.20166280802</v>
      </c>
      <c r="H55" s="6" t="n">
        <f aca="false">IF($A55="",0,IFERROR(INDEX('MATERIALS DB'!$Y$4:$Y$465,MATCH($A55,'MATERIALS DB'!$A$4:$A$465,0)),0))</f>
        <v>0.3</v>
      </c>
      <c r="I55" s="5" t="n">
        <f aca="false">B55*G55</f>
        <v>1232.20166280802</v>
      </c>
      <c r="J55" s="5" t="n">
        <f aca="false">I55*H55</f>
        <v>369.660498842405</v>
      </c>
      <c r="K55" s="5" t="n">
        <f aca="false">I55+J55</f>
        <v>1601.86216165042</v>
      </c>
      <c r="L55" s="7" t="n">
        <f aca="false">IF($A55="",0,IFERROR(B55*INDEX('MATERIALS DB'!$Q$4:$Q$465,MATCH($A55,'MATERIALS DB'!$A$4:$A$465,0))*(INDEX(SUPPLIERS!$F$3:$F$30,MATCH(E55,SUPPLIERS!$A$3:$A$30,0))&lt;&gt;"Yes"),0))</f>
        <v>0.00158</v>
      </c>
      <c r="M55" s="3" t="n">
        <f aca="false">IF($A55="",0,IFERROR(INDEX('MATERIALS DB'!$N$4:$N$465,MATCH($A55,'MATERIALS DB'!$A$4:$A$465,0)),0))</f>
        <v>4.74</v>
      </c>
      <c r="N55" s="8"/>
      <c r="O55" s="5" t="str">
        <f aca="false">IF(N55="","",N55-I55)</f>
        <v/>
      </c>
      <c r="Q55" s="2" t="n">
        <f aca="false">IF($A55="",0,IFERROR(INDEX('MATERIALS DB'!$K$4:$K$465,MATCH($A55,'MATERIALS DB'!$A$4:$A$465,0)),0))</f>
        <v>0</v>
      </c>
      <c r="R55" s="2" t="n">
        <f aca="false">IF($A55="",0,IF(OR(D55="All-in-one System",AND(D55="Inverter",OR(ISNUMBER(SEARCH("hybrid",C55)),ISNUMBER(SEARCH("off-grid",C55))))),1,0))</f>
        <v>0</v>
      </c>
    </row>
    <row r="56" customFormat="false" ht="15" hidden="false" customHeight="false" outlineLevel="0" collapsed="false">
      <c r="A56" s="2" t="s">
        <v>78</v>
      </c>
      <c r="B56" s="2" t="n">
        <v>4</v>
      </c>
      <c r="C56" s="2" t="str">
        <f aca="false">IF($A56="","",IFERROR(INDEX('MATERIALS DB'!$D$4:$D$465,MATCH($A56,'MATERIALS DB'!$A$4:$A$465,0)),"Code not found"))</f>
        <v>EARTH LUG</v>
      </c>
      <c r="D56" s="2" t="str">
        <f aca="false">IF($A56="","",IFERROR(INDEX('MATERIALS DB'!$B$4:$B$465,MATCH($A56,'MATERIALS DB'!$A$4:$A$465,0)),""))</f>
        <v>Grounding</v>
      </c>
      <c r="E56" s="2" t="str">
        <f aca="false">IF($A56="","",IFERROR(INDEX('MATERIALS DB'!$C$4:$C$465,MATCH($A56,'MATERIALS DB'!$A$4:$A$465,0)),""))</f>
        <v>IAN Solar</v>
      </c>
      <c r="F56" s="2" t="str">
        <f aca="false">IF($A56="","",IFERROR(INDEX('MATERIALS DB'!$F$4:$F$465,MATCH($A56,'MATERIALS DB'!$A$4:$A$465,0)),""))</f>
        <v>pc</v>
      </c>
      <c r="G56" s="5" t="n">
        <f aca="false">IF($A56="",0,IFERROR(INDEX('MATERIALS DB'!$W$4:$W$465,MATCH($A56,'MATERIALS DB'!$A$4:$A$465,0)),0))</f>
        <v>51.1384246887429</v>
      </c>
      <c r="H56" s="6" t="n">
        <f aca="false">IF($A56="",0,IFERROR(INDEX('MATERIALS DB'!$Y$4:$Y$465,MATCH($A56,'MATERIALS DB'!$A$4:$A$465,0)),0))</f>
        <v>0.3</v>
      </c>
      <c r="I56" s="5" t="n">
        <f aca="false">B56*G56</f>
        <v>204.553698754972</v>
      </c>
      <c r="J56" s="5" t="n">
        <f aca="false">I56*H56</f>
        <v>61.3661096264915</v>
      </c>
      <c r="K56" s="5" t="n">
        <f aca="false">I56+J56</f>
        <v>265.919808381463</v>
      </c>
      <c r="L56" s="7" t="n">
        <f aca="false">IF($A56="",0,IFERROR(B56*INDEX('MATERIALS DB'!$Q$4:$Q$465,MATCH($A56,'MATERIALS DB'!$A$4:$A$465,0))*(INDEX(SUPPLIERS!$F$3:$F$30,MATCH(E56,SUPPLIERS!$A$3:$A$30,0))&lt;&gt;"Yes"),0))</f>
        <v>0.000106666666666667</v>
      </c>
      <c r="M56" s="3" t="n">
        <f aca="false">IF($A56="",0,IFERROR(INDEX('MATERIALS DB'!$N$4:$N$465,MATCH($A56,'MATERIALS DB'!$A$4:$A$465,0)),0))</f>
        <v>0.08</v>
      </c>
      <c r="N56" s="8"/>
      <c r="O56" s="5" t="str">
        <f aca="false">IF(N56="","",N56-I56)</f>
        <v/>
      </c>
      <c r="Q56" s="2" t="n">
        <f aca="false">IF($A56="",0,IFERROR(INDEX('MATERIALS DB'!$K$4:$K$465,MATCH($A56,'MATERIALS DB'!$A$4:$A$465,0)),0))</f>
        <v>0</v>
      </c>
      <c r="R56" s="2" t="n">
        <f aca="false">IF($A56="",0,IF(OR(D56="All-in-one System",AND(D56="Inverter",OR(ISNUMBER(SEARCH("hybrid",C56)),ISNUMBER(SEARCH("off-grid",C56))))),1,0))</f>
        <v>0</v>
      </c>
    </row>
    <row r="57" customFormat="false" ht="15" hidden="false" customHeight="false" outlineLevel="0" collapsed="false">
      <c r="A57" s="2" t="s">
        <v>79</v>
      </c>
      <c r="B57" s="2" t="n">
        <v>2</v>
      </c>
      <c r="C57" s="2" t="str">
        <f aca="false">IF($A57="","",IFERROR(INDEX('MATERIALS DB'!$D$4:$D$465,MATCH($A57,'MATERIALS DB'!$A$4:$A$465,0)),"Code not found"))</f>
        <v>SEALANT BLACK</v>
      </c>
      <c r="D57" s="2" t="str">
        <f aca="false">IF($A57="","",IFERROR(INDEX('MATERIALS DB'!$B$4:$B$465,MATCH($A57,'MATERIALS DB'!$A$4:$A$465,0)),""))</f>
        <v>Consumables</v>
      </c>
      <c r="E57" s="2" t="str">
        <f aca="false">IF($A57="","",IFERROR(INDEX('MATERIALS DB'!$C$4:$C$465,MATCH($A57,'MATERIALS DB'!$A$4:$A$465,0)),""))</f>
        <v>IAN Solar</v>
      </c>
      <c r="F57" s="2" t="str">
        <f aca="false">IF($A57="","",IFERROR(INDEX('MATERIALS DB'!$F$4:$F$465,MATCH($A57,'MATERIALS DB'!$A$4:$A$465,0)),""))</f>
        <v>pc</v>
      </c>
      <c r="G57" s="5" t="n">
        <f aca="false">IF($A57="",0,IFERROR(INDEX('MATERIALS DB'!$W$4:$W$465,MATCH($A57,'MATERIALS DB'!$A$4:$A$465,0)),0))</f>
        <v>330.60560801325</v>
      </c>
      <c r="H57" s="6" t="n">
        <f aca="false">IF($A57="",0,IFERROR(INDEX('MATERIALS DB'!$Y$4:$Y$465,MATCH($A57,'MATERIALS DB'!$A$4:$A$465,0)),0))</f>
        <v>0.3</v>
      </c>
      <c r="I57" s="5" t="n">
        <f aca="false">B57*G57</f>
        <v>661.2112160265</v>
      </c>
      <c r="J57" s="5" t="n">
        <f aca="false">I57*H57</f>
        <v>198.36336480795</v>
      </c>
      <c r="K57" s="5" t="n">
        <f aca="false">I57+J57</f>
        <v>859.574580834451</v>
      </c>
      <c r="L57" s="7" t="n">
        <f aca="false">IF($A57="",0,IFERROR(B57*INDEX('MATERIALS DB'!$Q$4:$Q$465,MATCH($A57,'MATERIALS DB'!$A$4:$A$465,0))*(INDEX(SUPPLIERS!$F$3:$F$30,MATCH(E57,SUPPLIERS!$A$3:$A$30,0))&lt;&gt;"Yes"),0))</f>
        <v>0.000233333333333333</v>
      </c>
      <c r="M57" s="3" t="n">
        <f aca="false">IF($A57="",0,IFERROR(INDEX('MATERIALS DB'!$N$4:$N$465,MATCH($A57,'MATERIALS DB'!$A$4:$A$465,0)),0))</f>
        <v>0.35</v>
      </c>
      <c r="N57" s="8"/>
      <c r="O57" s="5" t="str">
        <f aca="false">IF(N57="","",N57-I57)</f>
        <v/>
      </c>
      <c r="Q57" s="2" t="n">
        <f aca="false">IF($A57="",0,IFERROR(INDEX('MATERIALS DB'!$K$4:$K$465,MATCH($A57,'MATERIALS DB'!$A$4:$A$465,0)),0))</f>
        <v>0</v>
      </c>
      <c r="R57" s="2" t="n">
        <f aca="false">IF($A57="",0,IF(OR(D57="All-in-one System",AND(D57="Inverter",OR(ISNUMBER(SEARCH("hybrid",C57)),ISNUMBER(SEARCH("off-grid",C57))))),1,0))</f>
        <v>0</v>
      </c>
    </row>
    <row r="58" customFormat="false" ht="15" hidden="false" customHeight="false" outlineLevel="0" collapsed="false">
      <c r="C58" s="2" t="str">
        <f aca="false">IF($A58="","",IFERROR(INDEX('MATERIALS DB'!$D$4:$D$465,MATCH($A58,'MATERIALS DB'!$A$4:$A$465,0)),"Code not found"))</f>
        <v/>
      </c>
      <c r="D58" s="2" t="str">
        <f aca="false">IF($A58="","",IFERROR(INDEX('MATERIALS DB'!$B$4:$B$465,MATCH($A58,'MATERIALS DB'!$A$4:$A$465,0)),""))</f>
        <v/>
      </c>
      <c r="E58" s="2" t="str">
        <f aca="false">IF($A58="","",IFERROR(INDEX('MATERIALS DB'!$C$4:$C$465,MATCH($A58,'MATERIALS DB'!$A$4:$A$465,0)),""))</f>
        <v/>
      </c>
      <c r="F58" s="2" t="str">
        <f aca="false">IF($A58="","",IFERROR(INDEX('MATERIALS DB'!$F$4:$F$465,MATCH($A58,'MATERIALS DB'!$A$4:$A$465,0)),""))</f>
        <v/>
      </c>
      <c r="G58" s="5" t="n">
        <f aca="false">IF($A58="",0,IFERROR(INDEX('MATERIALS DB'!$W$4:$W$465,MATCH($A58,'MATERIALS DB'!$A$4:$A$465,0)),0))</f>
        <v>0</v>
      </c>
      <c r="H58" s="6" t="n">
        <f aca="false">IF($A58="",0,IFERROR(INDEX('MATERIALS DB'!$Y$4:$Y$465,MATCH($A58,'MATERIALS DB'!$A$4:$A$465,0)),0))</f>
        <v>0</v>
      </c>
      <c r="I58" s="5" t="n">
        <f aca="false">B58*G58</f>
        <v>0</v>
      </c>
      <c r="J58" s="5" t="n">
        <f aca="false">I58*H58</f>
        <v>0</v>
      </c>
      <c r="K58" s="5" t="n">
        <f aca="false">I58+J58</f>
        <v>0</v>
      </c>
      <c r="L58" s="7" t="n">
        <f aca="false">IF($A58="",0,IFERROR(B58*INDEX('MATERIALS DB'!$Q$4:$Q$465,MATCH($A58,'MATERIALS DB'!$A$4:$A$465,0))*(INDEX(SUPPLIERS!$F$3:$F$30,MATCH(E58,SUPPLIERS!$A$3:$A$30,0))&lt;&gt;"Yes"),0))</f>
        <v>0</v>
      </c>
      <c r="M58" s="3" t="n">
        <f aca="false">IF($A58="",0,IFERROR(INDEX('MATERIALS DB'!$N$4:$N$465,MATCH($A58,'MATERIALS DB'!$A$4:$A$465,0)),0))</f>
        <v>0</v>
      </c>
      <c r="N58" s="8"/>
      <c r="O58" s="5" t="str">
        <f aca="false">IF(N58="","",N58-I58)</f>
        <v/>
      </c>
      <c r="Q58" s="2" t="n">
        <f aca="false">IF($A58="",0,IFERROR(INDEX('MATERIALS DB'!$K$4:$K$465,MATCH($A58,'MATERIALS DB'!$A$4:$A$465,0)),0))</f>
        <v>0</v>
      </c>
      <c r="R58" s="2" t="n">
        <f aca="false">IF($A58="",0,IF(OR(D58="All-in-one System",AND(D58="Inverter",OR(ISNUMBER(SEARCH("hybrid",C58)),ISNUMBER(SEARCH("off-grid",C58))))),1,0))</f>
        <v>0</v>
      </c>
    </row>
    <row r="59" customFormat="false" ht="15" hidden="false" customHeight="false" outlineLevel="0" collapsed="false">
      <c r="C59" s="2" t="str">
        <f aca="false">IF($A59="","",IFERROR(INDEX('MATERIALS DB'!$D$4:$D$465,MATCH($A59,'MATERIALS DB'!$A$4:$A$465,0)),"Code not found"))</f>
        <v/>
      </c>
      <c r="D59" s="2" t="str">
        <f aca="false">IF($A59="","",IFERROR(INDEX('MATERIALS DB'!$B$4:$B$465,MATCH($A59,'MATERIALS DB'!$A$4:$A$465,0)),""))</f>
        <v/>
      </c>
      <c r="E59" s="2" t="str">
        <f aca="false">IF($A59="","",IFERROR(INDEX('MATERIALS DB'!$C$4:$C$465,MATCH($A59,'MATERIALS DB'!$A$4:$A$465,0)),""))</f>
        <v/>
      </c>
      <c r="F59" s="2" t="str">
        <f aca="false">IF($A59="","",IFERROR(INDEX('MATERIALS DB'!$F$4:$F$465,MATCH($A59,'MATERIALS DB'!$A$4:$A$465,0)),""))</f>
        <v/>
      </c>
      <c r="G59" s="5" t="n">
        <f aca="false">IF($A59="",0,IFERROR(INDEX('MATERIALS DB'!$W$4:$W$465,MATCH($A59,'MATERIALS DB'!$A$4:$A$465,0)),0))</f>
        <v>0</v>
      </c>
      <c r="H59" s="6" t="n">
        <f aca="false">IF($A59="",0,IFERROR(INDEX('MATERIALS DB'!$Y$4:$Y$465,MATCH($A59,'MATERIALS DB'!$A$4:$A$465,0)),0))</f>
        <v>0</v>
      </c>
      <c r="I59" s="5" t="n">
        <f aca="false">B59*G59</f>
        <v>0</v>
      </c>
      <c r="J59" s="5" t="n">
        <f aca="false">I59*H59</f>
        <v>0</v>
      </c>
      <c r="K59" s="5" t="n">
        <f aca="false">I59+J59</f>
        <v>0</v>
      </c>
      <c r="L59" s="7" t="n">
        <f aca="false">IF($A59="",0,IFERROR(B59*INDEX('MATERIALS DB'!$Q$4:$Q$465,MATCH($A59,'MATERIALS DB'!$A$4:$A$465,0))*(INDEX(SUPPLIERS!$F$3:$F$30,MATCH(E59,SUPPLIERS!$A$3:$A$30,0))&lt;&gt;"Yes"),0))</f>
        <v>0</v>
      </c>
      <c r="M59" s="3" t="n">
        <f aca="false">IF($A59="",0,IFERROR(INDEX('MATERIALS DB'!$N$4:$N$465,MATCH($A59,'MATERIALS DB'!$A$4:$A$465,0)),0))</f>
        <v>0</v>
      </c>
      <c r="N59" s="8"/>
      <c r="O59" s="5" t="str">
        <f aca="false">IF(N59="","",N59-I59)</f>
        <v/>
      </c>
      <c r="Q59" s="2" t="n">
        <f aca="false">IF($A59="",0,IFERROR(INDEX('MATERIALS DB'!$K$4:$K$465,MATCH($A59,'MATERIALS DB'!$A$4:$A$465,0)),0))</f>
        <v>0</v>
      </c>
      <c r="R59" s="2" t="n">
        <f aca="false">IF($A59="",0,IF(OR(D59="All-in-one System",AND(D59="Inverter",OR(ISNUMBER(SEARCH("hybrid",C59)),ISNUMBER(SEARCH("off-grid",C59))))),1,0))</f>
        <v>0</v>
      </c>
    </row>
    <row r="60" customFormat="false" ht="15" hidden="false" customHeight="false" outlineLevel="0" collapsed="false">
      <c r="C60" s="2" t="str">
        <f aca="false">IF($A60="","",IFERROR(INDEX('MATERIALS DB'!$D$4:$D$465,MATCH($A60,'MATERIALS DB'!$A$4:$A$465,0)),"Code not found"))</f>
        <v/>
      </c>
      <c r="D60" s="2" t="str">
        <f aca="false">IF($A60="","",IFERROR(INDEX('MATERIALS DB'!$B$4:$B$465,MATCH($A60,'MATERIALS DB'!$A$4:$A$465,0)),""))</f>
        <v/>
      </c>
      <c r="E60" s="2" t="str">
        <f aca="false">IF($A60="","",IFERROR(INDEX('MATERIALS DB'!$C$4:$C$465,MATCH($A60,'MATERIALS DB'!$A$4:$A$465,0)),""))</f>
        <v/>
      </c>
      <c r="F60" s="2" t="str">
        <f aca="false">IF($A60="","",IFERROR(INDEX('MATERIALS DB'!$F$4:$F$465,MATCH($A60,'MATERIALS DB'!$A$4:$A$465,0)),""))</f>
        <v/>
      </c>
      <c r="G60" s="5" t="n">
        <f aca="false">IF($A60="",0,IFERROR(INDEX('MATERIALS DB'!$W$4:$W$465,MATCH($A60,'MATERIALS DB'!$A$4:$A$465,0)),0))</f>
        <v>0</v>
      </c>
      <c r="H60" s="6" t="n">
        <f aca="false">IF($A60="",0,IFERROR(INDEX('MATERIALS DB'!$Y$4:$Y$465,MATCH($A60,'MATERIALS DB'!$A$4:$A$465,0)),0))</f>
        <v>0</v>
      </c>
      <c r="I60" s="5" t="n">
        <f aca="false">B60*G60</f>
        <v>0</v>
      </c>
      <c r="J60" s="5" t="n">
        <f aca="false">I60*H60</f>
        <v>0</v>
      </c>
      <c r="K60" s="5" t="n">
        <f aca="false">I60+J60</f>
        <v>0</v>
      </c>
      <c r="L60" s="7" t="n">
        <f aca="false">IF($A60="",0,IFERROR(B60*INDEX('MATERIALS DB'!$Q$4:$Q$465,MATCH($A60,'MATERIALS DB'!$A$4:$A$465,0))*(INDEX(SUPPLIERS!$F$3:$F$30,MATCH(E60,SUPPLIERS!$A$3:$A$30,0))&lt;&gt;"Yes"),0))</f>
        <v>0</v>
      </c>
      <c r="M60" s="3" t="n">
        <f aca="false">IF($A60="",0,IFERROR(INDEX('MATERIALS DB'!$N$4:$N$465,MATCH($A60,'MATERIALS DB'!$A$4:$A$465,0)),0))</f>
        <v>0</v>
      </c>
      <c r="N60" s="8"/>
      <c r="O60" s="5" t="str">
        <f aca="false">IF(N60="","",N60-I60)</f>
        <v/>
      </c>
      <c r="Q60" s="2" t="n">
        <f aca="false">IF($A60="",0,IFERROR(INDEX('MATERIALS DB'!$K$4:$K$465,MATCH($A60,'MATERIALS DB'!$A$4:$A$465,0)),0))</f>
        <v>0</v>
      </c>
      <c r="R60" s="2" t="n">
        <f aca="false">IF($A60="",0,IF(OR(D60="All-in-one System",AND(D60="Inverter",OR(ISNUMBER(SEARCH("hybrid",C60)),ISNUMBER(SEARCH("off-grid",C60))))),1,0))</f>
        <v>0</v>
      </c>
    </row>
    <row r="61" customFormat="false" ht="15" hidden="false" customHeight="false" outlineLevel="0" collapsed="false">
      <c r="C61" s="2" t="str">
        <f aca="false">IF($A61="","",IFERROR(INDEX('MATERIALS DB'!$D$4:$D$465,MATCH($A61,'MATERIALS DB'!$A$4:$A$465,0)),"Code not found"))</f>
        <v/>
      </c>
      <c r="D61" s="2" t="str">
        <f aca="false">IF($A61="","",IFERROR(INDEX('MATERIALS DB'!$B$4:$B$465,MATCH($A61,'MATERIALS DB'!$A$4:$A$465,0)),""))</f>
        <v/>
      </c>
      <c r="E61" s="2" t="str">
        <f aca="false">IF($A61="","",IFERROR(INDEX('MATERIALS DB'!$C$4:$C$465,MATCH($A61,'MATERIALS DB'!$A$4:$A$465,0)),""))</f>
        <v/>
      </c>
      <c r="F61" s="2" t="str">
        <f aca="false">IF($A61="","",IFERROR(INDEX('MATERIALS DB'!$F$4:$F$465,MATCH($A61,'MATERIALS DB'!$A$4:$A$465,0)),""))</f>
        <v/>
      </c>
      <c r="G61" s="5" t="n">
        <f aca="false">IF($A61="",0,IFERROR(INDEX('MATERIALS DB'!$W$4:$W$465,MATCH($A61,'MATERIALS DB'!$A$4:$A$465,0)),0))</f>
        <v>0</v>
      </c>
      <c r="H61" s="6" t="n">
        <f aca="false">IF($A61="",0,IFERROR(INDEX('MATERIALS DB'!$Y$4:$Y$465,MATCH($A61,'MATERIALS DB'!$A$4:$A$465,0)),0))</f>
        <v>0</v>
      </c>
      <c r="I61" s="5" t="n">
        <f aca="false">B61*G61</f>
        <v>0</v>
      </c>
      <c r="J61" s="5" t="n">
        <f aca="false">I61*H61</f>
        <v>0</v>
      </c>
      <c r="K61" s="5" t="n">
        <f aca="false">I61+J61</f>
        <v>0</v>
      </c>
      <c r="L61" s="7" t="n">
        <f aca="false">IF($A61="",0,IFERROR(B61*INDEX('MATERIALS DB'!$Q$4:$Q$465,MATCH($A61,'MATERIALS DB'!$A$4:$A$465,0))*(INDEX(SUPPLIERS!$F$3:$F$30,MATCH(E61,SUPPLIERS!$A$3:$A$30,0))&lt;&gt;"Yes"),0))</f>
        <v>0</v>
      </c>
      <c r="M61" s="3" t="n">
        <f aca="false">IF($A61="",0,IFERROR(INDEX('MATERIALS DB'!$N$4:$N$465,MATCH($A61,'MATERIALS DB'!$A$4:$A$465,0)),0))</f>
        <v>0</v>
      </c>
      <c r="N61" s="8"/>
      <c r="O61" s="5" t="str">
        <f aca="false">IF(N61="","",N61-I61)</f>
        <v/>
      </c>
      <c r="Q61" s="2" t="n">
        <f aca="false">IF($A61="",0,IFERROR(INDEX('MATERIALS DB'!$K$4:$K$465,MATCH($A61,'MATERIALS DB'!$A$4:$A$465,0)),0))</f>
        <v>0</v>
      </c>
      <c r="R61" s="2" t="n">
        <f aca="false">IF($A61="",0,IF(OR(D61="All-in-one System",AND(D61="Inverter",OR(ISNUMBER(SEARCH("hybrid",C61)),ISNUMBER(SEARCH("off-grid",C61))))),1,0))</f>
        <v>0</v>
      </c>
    </row>
    <row r="62" customFormat="false" ht="15" hidden="false" customHeight="false" outlineLevel="0" collapsed="false">
      <c r="C62" s="2" t="str">
        <f aca="false">IF($A62="","",IFERROR(INDEX('MATERIALS DB'!$D$4:$D$465,MATCH($A62,'MATERIALS DB'!$A$4:$A$465,0)),"Code not found"))</f>
        <v/>
      </c>
      <c r="D62" s="2" t="str">
        <f aca="false">IF($A62="","",IFERROR(INDEX('MATERIALS DB'!$B$4:$B$465,MATCH($A62,'MATERIALS DB'!$A$4:$A$465,0)),""))</f>
        <v/>
      </c>
      <c r="E62" s="2" t="str">
        <f aca="false">IF($A62="","",IFERROR(INDEX('MATERIALS DB'!$C$4:$C$465,MATCH($A62,'MATERIALS DB'!$A$4:$A$465,0)),""))</f>
        <v/>
      </c>
      <c r="F62" s="2" t="str">
        <f aca="false">IF($A62="","",IFERROR(INDEX('MATERIALS DB'!$F$4:$F$465,MATCH($A62,'MATERIALS DB'!$A$4:$A$465,0)),""))</f>
        <v/>
      </c>
      <c r="G62" s="5" t="n">
        <f aca="false">IF($A62="",0,IFERROR(INDEX('MATERIALS DB'!$W$4:$W$465,MATCH($A62,'MATERIALS DB'!$A$4:$A$465,0)),0))</f>
        <v>0</v>
      </c>
      <c r="H62" s="6" t="n">
        <f aca="false">IF($A62="",0,IFERROR(INDEX('MATERIALS DB'!$Y$4:$Y$465,MATCH($A62,'MATERIALS DB'!$A$4:$A$465,0)),0))</f>
        <v>0</v>
      </c>
      <c r="I62" s="5" t="n">
        <f aca="false">B62*G62</f>
        <v>0</v>
      </c>
      <c r="J62" s="5" t="n">
        <f aca="false">I62*H62</f>
        <v>0</v>
      </c>
      <c r="K62" s="5" t="n">
        <f aca="false">I62+J62</f>
        <v>0</v>
      </c>
      <c r="L62" s="7" t="n">
        <f aca="false">IF($A62="",0,IFERROR(B62*INDEX('MATERIALS DB'!$Q$4:$Q$465,MATCH($A62,'MATERIALS DB'!$A$4:$A$465,0))*(INDEX(SUPPLIERS!$F$3:$F$30,MATCH(E62,SUPPLIERS!$A$3:$A$30,0))&lt;&gt;"Yes"),0))</f>
        <v>0</v>
      </c>
      <c r="M62" s="3" t="n">
        <f aca="false">IF($A62="",0,IFERROR(INDEX('MATERIALS DB'!$N$4:$N$465,MATCH($A62,'MATERIALS DB'!$A$4:$A$465,0)),0))</f>
        <v>0</v>
      </c>
      <c r="N62" s="8"/>
      <c r="O62" s="5" t="str">
        <f aca="false">IF(N62="","",N62-I62)</f>
        <v/>
      </c>
      <c r="Q62" s="2" t="n">
        <f aca="false">IF($A62="",0,IFERROR(INDEX('MATERIALS DB'!$K$4:$K$465,MATCH($A62,'MATERIALS DB'!$A$4:$A$465,0)),0))</f>
        <v>0</v>
      </c>
      <c r="R62" s="2" t="n">
        <f aca="false">IF($A62="",0,IF(OR(D62="All-in-one System",AND(D62="Inverter",OR(ISNUMBER(SEARCH("hybrid",C62)),ISNUMBER(SEARCH("off-grid",C62))))),1,0))</f>
        <v>0</v>
      </c>
    </row>
    <row r="63" customFormat="false" ht="15" hidden="false" customHeight="false" outlineLevel="0" collapsed="false">
      <c r="C63" s="2" t="str">
        <f aca="false">IF($A63="","",IFERROR(INDEX('MATERIALS DB'!$D$4:$D$465,MATCH($A63,'MATERIALS DB'!$A$4:$A$465,0)),"Code not found"))</f>
        <v/>
      </c>
      <c r="D63" s="2" t="str">
        <f aca="false">IF($A63="","",IFERROR(INDEX('MATERIALS DB'!$B$4:$B$465,MATCH($A63,'MATERIALS DB'!$A$4:$A$465,0)),""))</f>
        <v/>
      </c>
      <c r="E63" s="2" t="str">
        <f aca="false">IF($A63="","",IFERROR(INDEX('MATERIALS DB'!$C$4:$C$465,MATCH($A63,'MATERIALS DB'!$A$4:$A$465,0)),""))</f>
        <v/>
      </c>
      <c r="F63" s="2" t="str">
        <f aca="false">IF($A63="","",IFERROR(INDEX('MATERIALS DB'!$F$4:$F$465,MATCH($A63,'MATERIALS DB'!$A$4:$A$465,0)),""))</f>
        <v/>
      </c>
      <c r="G63" s="5" t="n">
        <f aca="false">IF($A63="",0,IFERROR(INDEX('MATERIALS DB'!$W$4:$W$465,MATCH($A63,'MATERIALS DB'!$A$4:$A$465,0)),0))</f>
        <v>0</v>
      </c>
      <c r="H63" s="6" t="n">
        <f aca="false">IF($A63="",0,IFERROR(INDEX('MATERIALS DB'!$Y$4:$Y$465,MATCH($A63,'MATERIALS DB'!$A$4:$A$465,0)),0))</f>
        <v>0</v>
      </c>
      <c r="I63" s="5" t="n">
        <f aca="false">B63*G63</f>
        <v>0</v>
      </c>
      <c r="J63" s="5" t="n">
        <f aca="false">I63*H63</f>
        <v>0</v>
      </c>
      <c r="K63" s="5" t="n">
        <f aca="false">I63+J63</f>
        <v>0</v>
      </c>
      <c r="L63" s="7" t="n">
        <f aca="false">IF($A63="",0,IFERROR(B63*INDEX('MATERIALS DB'!$Q$4:$Q$465,MATCH($A63,'MATERIALS DB'!$A$4:$A$465,0))*(INDEX(SUPPLIERS!$F$3:$F$30,MATCH(E63,SUPPLIERS!$A$3:$A$30,0))&lt;&gt;"Yes"),0))</f>
        <v>0</v>
      </c>
      <c r="M63" s="3" t="n">
        <f aca="false">IF($A63="",0,IFERROR(INDEX('MATERIALS DB'!$N$4:$N$465,MATCH($A63,'MATERIALS DB'!$A$4:$A$465,0)),0))</f>
        <v>0</v>
      </c>
      <c r="N63" s="8"/>
      <c r="O63" s="5" t="str">
        <f aca="false">IF(N63="","",N63-I63)</f>
        <v/>
      </c>
      <c r="Q63" s="2" t="n">
        <f aca="false">IF($A63="",0,IFERROR(INDEX('MATERIALS DB'!$K$4:$K$465,MATCH($A63,'MATERIALS DB'!$A$4:$A$465,0)),0))</f>
        <v>0</v>
      </c>
      <c r="R63" s="2" t="n">
        <f aca="false">IF($A63="",0,IF(OR(D63="All-in-one System",AND(D63="Inverter",OR(ISNUMBER(SEARCH("hybrid",C63)),ISNUMBER(SEARCH("off-grid",C63))))),1,0))</f>
        <v>0</v>
      </c>
    </row>
    <row r="64" customFormat="false" ht="15" hidden="false" customHeight="false" outlineLevel="0" collapsed="false">
      <c r="C64" s="2" t="str">
        <f aca="false">IF($A64="","",IFERROR(INDEX('MATERIALS DB'!$D$4:$D$465,MATCH($A64,'MATERIALS DB'!$A$4:$A$465,0)),"Code not found"))</f>
        <v/>
      </c>
      <c r="D64" s="2" t="str">
        <f aca="false">IF($A64="","",IFERROR(INDEX('MATERIALS DB'!$B$4:$B$465,MATCH($A64,'MATERIALS DB'!$A$4:$A$465,0)),""))</f>
        <v/>
      </c>
      <c r="E64" s="2" t="str">
        <f aca="false">IF($A64="","",IFERROR(INDEX('MATERIALS DB'!$C$4:$C$465,MATCH($A64,'MATERIALS DB'!$A$4:$A$465,0)),""))</f>
        <v/>
      </c>
      <c r="F64" s="2" t="str">
        <f aca="false">IF($A64="","",IFERROR(INDEX('MATERIALS DB'!$F$4:$F$465,MATCH($A64,'MATERIALS DB'!$A$4:$A$465,0)),""))</f>
        <v/>
      </c>
      <c r="G64" s="5" t="n">
        <f aca="false">IF($A64="",0,IFERROR(INDEX('MATERIALS DB'!$W$4:$W$465,MATCH($A64,'MATERIALS DB'!$A$4:$A$465,0)),0))</f>
        <v>0</v>
      </c>
      <c r="H64" s="6" t="n">
        <f aca="false">IF($A64="",0,IFERROR(INDEX('MATERIALS DB'!$Y$4:$Y$465,MATCH($A64,'MATERIALS DB'!$A$4:$A$465,0)),0))</f>
        <v>0</v>
      </c>
      <c r="I64" s="5" t="n">
        <f aca="false">B64*G64</f>
        <v>0</v>
      </c>
      <c r="J64" s="5" t="n">
        <f aca="false">I64*H64</f>
        <v>0</v>
      </c>
      <c r="K64" s="5" t="n">
        <f aca="false">I64+J64</f>
        <v>0</v>
      </c>
      <c r="L64" s="7" t="n">
        <f aca="false">IF($A64="",0,IFERROR(B64*INDEX('MATERIALS DB'!$Q$4:$Q$465,MATCH($A64,'MATERIALS DB'!$A$4:$A$465,0))*(INDEX(SUPPLIERS!$F$3:$F$30,MATCH(E64,SUPPLIERS!$A$3:$A$30,0))&lt;&gt;"Yes"),0))</f>
        <v>0</v>
      </c>
      <c r="M64" s="3" t="n">
        <f aca="false">IF($A64="",0,IFERROR(INDEX('MATERIALS DB'!$N$4:$N$465,MATCH($A64,'MATERIALS DB'!$A$4:$A$465,0)),0))</f>
        <v>0</v>
      </c>
      <c r="N64" s="8"/>
      <c r="O64" s="5" t="str">
        <f aca="false">IF(N64="","",N64-I64)</f>
        <v/>
      </c>
      <c r="Q64" s="2" t="n">
        <f aca="false">IF($A64="",0,IFERROR(INDEX('MATERIALS DB'!$K$4:$K$465,MATCH($A64,'MATERIALS DB'!$A$4:$A$465,0)),0))</f>
        <v>0</v>
      </c>
      <c r="R64" s="2" t="n">
        <f aca="false">IF($A64="",0,IF(OR(D64="All-in-one System",AND(D64="Inverter",OR(ISNUMBER(SEARCH("hybrid",C64)),ISNUMBER(SEARCH("off-grid",C64))))),1,0))</f>
        <v>0</v>
      </c>
    </row>
    <row r="65" customFormat="false" ht="15" hidden="false" customHeight="false" outlineLevel="0" collapsed="false">
      <c r="C65" s="2" t="str">
        <f aca="false">IF($A65="","",IFERROR(INDEX('MATERIALS DB'!$D$4:$D$465,MATCH($A65,'MATERIALS DB'!$A$4:$A$465,0)),"Code not found"))</f>
        <v/>
      </c>
      <c r="D65" s="2" t="str">
        <f aca="false">IF($A65="","",IFERROR(INDEX('MATERIALS DB'!$B$4:$B$465,MATCH($A65,'MATERIALS DB'!$A$4:$A$465,0)),""))</f>
        <v/>
      </c>
      <c r="E65" s="2" t="str">
        <f aca="false">IF($A65="","",IFERROR(INDEX('MATERIALS DB'!$C$4:$C$465,MATCH($A65,'MATERIALS DB'!$A$4:$A$465,0)),""))</f>
        <v/>
      </c>
      <c r="F65" s="2" t="str">
        <f aca="false">IF($A65="","",IFERROR(INDEX('MATERIALS DB'!$F$4:$F$465,MATCH($A65,'MATERIALS DB'!$A$4:$A$465,0)),""))</f>
        <v/>
      </c>
      <c r="G65" s="5" t="n">
        <f aca="false">IF($A65="",0,IFERROR(INDEX('MATERIALS DB'!$W$4:$W$465,MATCH($A65,'MATERIALS DB'!$A$4:$A$465,0)),0))</f>
        <v>0</v>
      </c>
      <c r="H65" s="6" t="n">
        <f aca="false">IF($A65="",0,IFERROR(INDEX('MATERIALS DB'!$Y$4:$Y$465,MATCH($A65,'MATERIALS DB'!$A$4:$A$465,0)),0))</f>
        <v>0</v>
      </c>
      <c r="I65" s="5" t="n">
        <f aca="false">B65*G65</f>
        <v>0</v>
      </c>
      <c r="J65" s="5" t="n">
        <f aca="false">I65*H65</f>
        <v>0</v>
      </c>
      <c r="K65" s="5" t="n">
        <f aca="false">I65+J65</f>
        <v>0</v>
      </c>
      <c r="L65" s="7" t="n">
        <f aca="false">IF($A65="",0,IFERROR(B65*INDEX('MATERIALS DB'!$Q$4:$Q$465,MATCH($A65,'MATERIALS DB'!$A$4:$A$465,0))*(INDEX(SUPPLIERS!$F$3:$F$30,MATCH(E65,SUPPLIERS!$A$3:$A$30,0))&lt;&gt;"Yes"),0))</f>
        <v>0</v>
      </c>
      <c r="M65" s="3" t="n">
        <f aca="false">IF($A65="",0,IFERROR(INDEX('MATERIALS DB'!$N$4:$N$465,MATCH($A65,'MATERIALS DB'!$A$4:$A$465,0)),0))</f>
        <v>0</v>
      </c>
      <c r="N65" s="8"/>
      <c r="O65" s="5" t="str">
        <f aca="false">IF(N65="","",N65-I65)</f>
        <v/>
      </c>
      <c r="Q65" s="2" t="n">
        <f aca="false">IF($A65="",0,IFERROR(INDEX('MATERIALS DB'!$K$4:$K$465,MATCH($A65,'MATERIALS DB'!$A$4:$A$465,0)),0))</f>
        <v>0</v>
      </c>
      <c r="R65" s="2" t="n">
        <f aca="false">IF($A65="",0,IF(OR(D65="All-in-one System",AND(D65="Inverter",OR(ISNUMBER(SEARCH("hybrid",C65)),ISNUMBER(SEARCH("off-grid",C65))))),1,0))</f>
        <v>0</v>
      </c>
    </row>
    <row r="66" customFormat="false" ht="15" hidden="false" customHeight="false" outlineLevel="0" collapsed="false">
      <c r="C66" s="2" t="str">
        <f aca="false">IF($A66="","",IFERROR(INDEX('MATERIALS DB'!$D$4:$D$465,MATCH($A66,'MATERIALS DB'!$A$4:$A$465,0)),"Code not found"))</f>
        <v/>
      </c>
      <c r="D66" s="2" t="str">
        <f aca="false">IF($A66="","",IFERROR(INDEX('MATERIALS DB'!$B$4:$B$465,MATCH($A66,'MATERIALS DB'!$A$4:$A$465,0)),""))</f>
        <v/>
      </c>
      <c r="E66" s="2" t="str">
        <f aca="false">IF($A66="","",IFERROR(INDEX('MATERIALS DB'!$C$4:$C$465,MATCH($A66,'MATERIALS DB'!$A$4:$A$465,0)),""))</f>
        <v/>
      </c>
      <c r="F66" s="2" t="str">
        <f aca="false">IF($A66="","",IFERROR(INDEX('MATERIALS DB'!$F$4:$F$465,MATCH($A66,'MATERIALS DB'!$A$4:$A$465,0)),""))</f>
        <v/>
      </c>
      <c r="G66" s="5" t="n">
        <f aca="false">IF($A66="",0,IFERROR(INDEX('MATERIALS DB'!$W$4:$W$465,MATCH($A66,'MATERIALS DB'!$A$4:$A$465,0)),0))</f>
        <v>0</v>
      </c>
      <c r="H66" s="6" t="n">
        <f aca="false">IF($A66="",0,IFERROR(INDEX('MATERIALS DB'!$Y$4:$Y$465,MATCH($A66,'MATERIALS DB'!$A$4:$A$465,0)),0))</f>
        <v>0</v>
      </c>
      <c r="I66" s="5" t="n">
        <f aca="false">B66*G66</f>
        <v>0</v>
      </c>
      <c r="J66" s="5" t="n">
        <f aca="false">I66*H66</f>
        <v>0</v>
      </c>
      <c r="K66" s="5" t="n">
        <f aca="false">I66+J66</f>
        <v>0</v>
      </c>
      <c r="L66" s="7" t="n">
        <f aca="false">IF($A66="",0,IFERROR(B66*INDEX('MATERIALS DB'!$Q$4:$Q$465,MATCH($A66,'MATERIALS DB'!$A$4:$A$465,0))*(INDEX(SUPPLIERS!$F$3:$F$30,MATCH(E66,SUPPLIERS!$A$3:$A$30,0))&lt;&gt;"Yes"),0))</f>
        <v>0</v>
      </c>
      <c r="M66" s="3" t="n">
        <f aca="false">IF($A66="",0,IFERROR(INDEX('MATERIALS DB'!$N$4:$N$465,MATCH($A66,'MATERIALS DB'!$A$4:$A$465,0)),0))</f>
        <v>0</v>
      </c>
      <c r="N66" s="8"/>
      <c r="O66" s="5" t="str">
        <f aca="false">IF(N66="","",N66-I66)</f>
        <v/>
      </c>
      <c r="Q66" s="2" t="n">
        <f aca="false">IF($A66="",0,IFERROR(INDEX('MATERIALS DB'!$K$4:$K$465,MATCH($A66,'MATERIALS DB'!$A$4:$A$465,0)),0))</f>
        <v>0</v>
      </c>
      <c r="R66" s="2" t="n">
        <f aca="false">IF($A66="",0,IF(OR(D66="All-in-one System",AND(D66="Inverter",OR(ISNUMBER(SEARCH("hybrid",C66)),ISNUMBER(SEARCH("off-grid",C66))))),1,0))</f>
        <v>0</v>
      </c>
    </row>
    <row r="67" customFormat="false" ht="15" hidden="false" customHeight="false" outlineLevel="0" collapsed="false">
      <c r="C67" s="2" t="str">
        <f aca="false">IF($A67="","",IFERROR(INDEX('MATERIALS DB'!$D$4:$D$465,MATCH($A67,'MATERIALS DB'!$A$4:$A$465,0)),"Code not found"))</f>
        <v/>
      </c>
      <c r="D67" s="2" t="str">
        <f aca="false">IF($A67="","",IFERROR(INDEX('MATERIALS DB'!$B$4:$B$465,MATCH($A67,'MATERIALS DB'!$A$4:$A$465,0)),""))</f>
        <v/>
      </c>
      <c r="E67" s="2" t="str">
        <f aca="false">IF($A67="","",IFERROR(INDEX('MATERIALS DB'!$C$4:$C$465,MATCH($A67,'MATERIALS DB'!$A$4:$A$465,0)),""))</f>
        <v/>
      </c>
      <c r="F67" s="2" t="str">
        <f aca="false">IF($A67="","",IFERROR(INDEX('MATERIALS DB'!$F$4:$F$465,MATCH($A67,'MATERIALS DB'!$A$4:$A$465,0)),""))</f>
        <v/>
      </c>
      <c r="G67" s="5" t="n">
        <f aca="false">IF($A67="",0,IFERROR(INDEX('MATERIALS DB'!$W$4:$W$465,MATCH($A67,'MATERIALS DB'!$A$4:$A$465,0)),0))</f>
        <v>0</v>
      </c>
      <c r="H67" s="6" t="n">
        <f aca="false">IF($A67="",0,IFERROR(INDEX('MATERIALS DB'!$Y$4:$Y$465,MATCH($A67,'MATERIALS DB'!$A$4:$A$465,0)),0))</f>
        <v>0</v>
      </c>
      <c r="I67" s="5" t="n">
        <f aca="false">B67*G67</f>
        <v>0</v>
      </c>
      <c r="J67" s="5" t="n">
        <f aca="false">I67*H67</f>
        <v>0</v>
      </c>
      <c r="K67" s="5" t="n">
        <f aca="false">I67+J67</f>
        <v>0</v>
      </c>
      <c r="L67" s="7" t="n">
        <f aca="false">IF($A67="",0,IFERROR(B67*INDEX('MATERIALS DB'!$Q$4:$Q$465,MATCH($A67,'MATERIALS DB'!$A$4:$A$465,0))*(INDEX(SUPPLIERS!$F$3:$F$30,MATCH(E67,SUPPLIERS!$A$3:$A$30,0))&lt;&gt;"Yes"),0))</f>
        <v>0</v>
      </c>
      <c r="M67" s="3" t="n">
        <f aca="false">IF($A67="",0,IFERROR(INDEX('MATERIALS DB'!$N$4:$N$465,MATCH($A67,'MATERIALS DB'!$A$4:$A$465,0)),0))</f>
        <v>0</v>
      </c>
      <c r="N67" s="8"/>
      <c r="O67" s="5" t="str">
        <f aca="false">IF(N67="","",N67-I67)</f>
        <v/>
      </c>
      <c r="Q67" s="2" t="n">
        <f aca="false">IF($A67="",0,IFERROR(INDEX('MATERIALS DB'!$K$4:$K$465,MATCH($A67,'MATERIALS DB'!$A$4:$A$465,0)),0))</f>
        <v>0</v>
      </c>
      <c r="R67" s="2" t="n">
        <f aca="false">IF($A67="",0,IF(OR(D67="All-in-one System",AND(D67="Inverter",OR(ISNUMBER(SEARCH("hybrid",C67)),ISNUMBER(SEARCH("off-grid",C67))))),1,0))</f>
        <v>0</v>
      </c>
    </row>
    <row r="68" customFormat="false" ht="15" hidden="false" customHeight="false" outlineLevel="0" collapsed="false">
      <c r="C68" s="2" t="str">
        <f aca="false">IF($A68="","",IFERROR(INDEX('MATERIALS DB'!$D$4:$D$465,MATCH($A68,'MATERIALS DB'!$A$4:$A$465,0)),"Code not found"))</f>
        <v/>
      </c>
      <c r="D68" s="2" t="str">
        <f aca="false">IF($A68="","",IFERROR(INDEX('MATERIALS DB'!$B$4:$B$465,MATCH($A68,'MATERIALS DB'!$A$4:$A$465,0)),""))</f>
        <v/>
      </c>
      <c r="E68" s="2" t="str">
        <f aca="false">IF($A68="","",IFERROR(INDEX('MATERIALS DB'!$C$4:$C$465,MATCH($A68,'MATERIALS DB'!$A$4:$A$465,0)),""))</f>
        <v/>
      </c>
      <c r="F68" s="2" t="str">
        <f aca="false">IF($A68="","",IFERROR(INDEX('MATERIALS DB'!$F$4:$F$465,MATCH($A68,'MATERIALS DB'!$A$4:$A$465,0)),""))</f>
        <v/>
      </c>
      <c r="G68" s="5" t="n">
        <f aca="false">IF($A68="",0,IFERROR(INDEX('MATERIALS DB'!$W$4:$W$465,MATCH($A68,'MATERIALS DB'!$A$4:$A$465,0)),0))</f>
        <v>0</v>
      </c>
      <c r="H68" s="6" t="n">
        <f aca="false">IF($A68="",0,IFERROR(INDEX('MATERIALS DB'!$Y$4:$Y$465,MATCH($A68,'MATERIALS DB'!$A$4:$A$465,0)),0))</f>
        <v>0</v>
      </c>
      <c r="I68" s="5" t="n">
        <f aca="false">B68*G68</f>
        <v>0</v>
      </c>
      <c r="J68" s="5" t="n">
        <f aca="false">I68*H68</f>
        <v>0</v>
      </c>
      <c r="K68" s="5" t="n">
        <f aca="false">I68+J68</f>
        <v>0</v>
      </c>
      <c r="L68" s="7" t="n">
        <f aca="false">IF($A68="",0,IFERROR(B68*INDEX('MATERIALS DB'!$Q$4:$Q$465,MATCH($A68,'MATERIALS DB'!$A$4:$A$465,0))*(INDEX(SUPPLIERS!$F$3:$F$30,MATCH(E68,SUPPLIERS!$A$3:$A$30,0))&lt;&gt;"Yes"),0))</f>
        <v>0</v>
      </c>
      <c r="M68" s="3" t="n">
        <f aca="false">IF($A68="",0,IFERROR(INDEX('MATERIALS DB'!$N$4:$N$465,MATCH($A68,'MATERIALS DB'!$A$4:$A$465,0)),0))</f>
        <v>0</v>
      </c>
      <c r="N68" s="8"/>
      <c r="O68" s="5" t="str">
        <f aca="false">IF(N68="","",N68-I68)</f>
        <v/>
      </c>
      <c r="Q68" s="2" t="n">
        <f aca="false">IF($A68="",0,IFERROR(INDEX('MATERIALS DB'!$K$4:$K$465,MATCH($A68,'MATERIALS DB'!$A$4:$A$465,0)),0))</f>
        <v>0</v>
      </c>
      <c r="R68" s="2" t="n">
        <f aca="false">IF($A68="",0,IF(OR(D68="All-in-one System",AND(D68="Inverter",OR(ISNUMBER(SEARCH("hybrid",C68)),ISNUMBER(SEARCH("off-grid",C68))))),1,0))</f>
        <v>0</v>
      </c>
    </row>
    <row r="69" customFormat="false" ht="15" hidden="false" customHeight="false" outlineLevel="0" collapsed="false">
      <c r="C69" s="2" t="str">
        <f aca="false">IF($A69="","",IFERROR(INDEX('MATERIALS DB'!$D$4:$D$465,MATCH($A69,'MATERIALS DB'!$A$4:$A$465,0)),"Code not found"))</f>
        <v/>
      </c>
      <c r="D69" s="2" t="str">
        <f aca="false">IF($A69="","",IFERROR(INDEX('MATERIALS DB'!$B$4:$B$465,MATCH($A69,'MATERIALS DB'!$A$4:$A$465,0)),""))</f>
        <v/>
      </c>
      <c r="E69" s="2" t="str">
        <f aca="false">IF($A69="","",IFERROR(INDEX('MATERIALS DB'!$C$4:$C$465,MATCH($A69,'MATERIALS DB'!$A$4:$A$465,0)),""))</f>
        <v/>
      </c>
      <c r="F69" s="2" t="str">
        <f aca="false">IF($A69="","",IFERROR(INDEX('MATERIALS DB'!$F$4:$F$465,MATCH($A69,'MATERIALS DB'!$A$4:$A$465,0)),""))</f>
        <v/>
      </c>
      <c r="G69" s="5" t="n">
        <f aca="false">IF($A69="",0,IFERROR(INDEX('MATERIALS DB'!$W$4:$W$465,MATCH($A69,'MATERIALS DB'!$A$4:$A$465,0)),0))</f>
        <v>0</v>
      </c>
      <c r="H69" s="6" t="n">
        <f aca="false">IF($A69="",0,IFERROR(INDEX('MATERIALS DB'!$Y$4:$Y$465,MATCH($A69,'MATERIALS DB'!$A$4:$A$465,0)),0))</f>
        <v>0</v>
      </c>
      <c r="I69" s="5" t="n">
        <f aca="false">B69*G69</f>
        <v>0</v>
      </c>
      <c r="J69" s="5" t="n">
        <f aca="false">I69*H69</f>
        <v>0</v>
      </c>
      <c r="K69" s="5" t="n">
        <f aca="false">I69+J69</f>
        <v>0</v>
      </c>
      <c r="L69" s="7" t="n">
        <f aca="false">IF($A69="",0,IFERROR(B69*INDEX('MATERIALS DB'!$Q$4:$Q$465,MATCH($A69,'MATERIALS DB'!$A$4:$A$465,0))*(INDEX(SUPPLIERS!$F$3:$F$30,MATCH(E69,SUPPLIERS!$A$3:$A$30,0))&lt;&gt;"Yes"),0))</f>
        <v>0</v>
      </c>
      <c r="M69" s="3" t="n">
        <f aca="false">IF($A69="",0,IFERROR(INDEX('MATERIALS DB'!$N$4:$N$465,MATCH($A69,'MATERIALS DB'!$A$4:$A$465,0)),0))</f>
        <v>0</v>
      </c>
      <c r="N69" s="8"/>
      <c r="O69" s="5" t="str">
        <f aca="false">IF(N69="","",N69-I69)</f>
        <v/>
      </c>
      <c r="Q69" s="2" t="n">
        <f aca="false">IF($A69="",0,IFERROR(INDEX('MATERIALS DB'!$K$4:$K$465,MATCH($A69,'MATERIALS DB'!$A$4:$A$465,0)),0))</f>
        <v>0</v>
      </c>
      <c r="R69" s="2" t="n">
        <f aca="false">IF($A69="",0,IF(OR(D69="All-in-one System",AND(D69="Inverter",OR(ISNUMBER(SEARCH("hybrid",C69)),ISNUMBER(SEARCH("off-grid",C69))))),1,0))</f>
        <v>0</v>
      </c>
    </row>
    <row r="70" customFormat="false" ht="15" hidden="false" customHeight="false" outlineLevel="0" collapsed="false">
      <c r="C70" s="2" t="str">
        <f aca="false">IF($A70="","",IFERROR(INDEX('MATERIALS DB'!$D$4:$D$465,MATCH($A70,'MATERIALS DB'!$A$4:$A$465,0)),"Code not found"))</f>
        <v/>
      </c>
      <c r="D70" s="2" t="str">
        <f aca="false">IF($A70="","",IFERROR(INDEX('MATERIALS DB'!$B$4:$B$465,MATCH($A70,'MATERIALS DB'!$A$4:$A$465,0)),""))</f>
        <v/>
      </c>
      <c r="E70" s="2" t="str">
        <f aca="false">IF($A70="","",IFERROR(INDEX('MATERIALS DB'!$C$4:$C$465,MATCH($A70,'MATERIALS DB'!$A$4:$A$465,0)),""))</f>
        <v/>
      </c>
      <c r="F70" s="2" t="str">
        <f aca="false">IF($A70="","",IFERROR(INDEX('MATERIALS DB'!$F$4:$F$465,MATCH($A70,'MATERIALS DB'!$A$4:$A$465,0)),""))</f>
        <v/>
      </c>
      <c r="G70" s="5" t="n">
        <f aca="false">IF($A70="",0,IFERROR(INDEX('MATERIALS DB'!$W$4:$W$465,MATCH($A70,'MATERIALS DB'!$A$4:$A$465,0)),0))</f>
        <v>0</v>
      </c>
      <c r="H70" s="6" t="n">
        <f aca="false">IF($A70="",0,IFERROR(INDEX('MATERIALS DB'!$Y$4:$Y$465,MATCH($A70,'MATERIALS DB'!$A$4:$A$465,0)),0))</f>
        <v>0</v>
      </c>
      <c r="I70" s="5" t="n">
        <f aca="false">B70*G70</f>
        <v>0</v>
      </c>
      <c r="J70" s="5" t="n">
        <f aca="false">I70*H70</f>
        <v>0</v>
      </c>
      <c r="K70" s="5" t="n">
        <f aca="false">I70+J70</f>
        <v>0</v>
      </c>
      <c r="L70" s="7" t="n">
        <f aca="false">IF($A70="",0,IFERROR(B70*INDEX('MATERIALS DB'!$Q$4:$Q$465,MATCH($A70,'MATERIALS DB'!$A$4:$A$465,0))*(INDEX(SUPPLIERS!$F$3:$F$30,MATCH(E70,SUPPLIERS!$A$3:$A$30,0))&lt;&gt;"Yes"),0))</f>
        <v>0</v>
      </c>
      <c r="M70" s="3" t="n">
        <f aca="false">IF($A70="",0,IFERROR(INDEX('MATERIALS DB'!$N$4:$N$465,MATCH($A70,'MATERIALS DB'!$A$4:$A$465,0)),0))</f>
        <v>0</v>
      </c>
      <c r="N70" s="8"/>
      <c r="O70" s="5" t="str">
        <f aca="false">IF(N70="","",N70-I70)</f>
        <v/>
      </c>
      <c r="Q70" s="2" t="n">
        <f aca="false">IF($A70="",0,IFERROR(INDEX('MATERIALS DB'!$K$4:$K$465,MATCH($A70,'MATERIALS DB'!$A$4:$A$465,0)),0))</f>
        <v>0</v>
      </c>
      <c r="R70" s="2" t="n">
        <f aca="false">IF($A70="",0,IF(OR(D70="All-in-one System",AND(D70="Inverter",OR(ISNUMBER(SEARCH("hybrid",C70)),ISNUMBER(SEARCH("off-grid",C70))))),1,0))</f>
        <v>0</v>
      </c>
    </row>
    <row r="71" customFormat="false" ht="15" hidden="false" customHeight="false" outlineLevel="0" collapsed="false">
      <c r="C71" s="2" t="str">
        <f aca="false">IF($A71="","",IFERROR(INDEX('MATERIALS DB'!$D$4:$D$465,MATCH($A71,'MATERIALS DB'!$A$4:$A$465,0)),"Code not found"))</f>
        <v/>
      </c>
      <c r="D71" s="2" t="str">
        <f aca="false">IF($A71="","",IFERROR(INDEX('MATERIALS DB'!$B$4:$B$465,MATCH($A71,'MATERIALS DB'!$A$4:$A$465,0)),""))</f>
        <v/>
      </c>
      <c r="E71" s="2" t="str">
        <f aca="false">IF($A71="","",IFERROR(INDEX('MATERIALS DB'!$C$4:$C$465,MATCH($A71,'MATERIALS DB'!$A$4:$A$465,0)),""))</f>
        <v/>
      </c>
      <c r="F71" s="2" t="str">
        <f aca="false">IF($A71="","",IFERROR(INDEX('MATERIALS DB'!$F$4:$F$465,MATCH($A71,'MATERIALS DB'!$A$4:$A$465,0)),""))</f>
        <v/>
      </c>
      <c r="G71" s="5" t="n">
        <f aca="false">IF($A71="",0,IFERROR(INDEX('MATERIALS DB'!$W$4:$W$465,MATCH($A71,'MATERIALS DB'!$A$4:$A$465,0)),0))</f>
        <v>0</v>
      </c>
      <c r="H71" s="6" t="n">
        <f aca="false">IF($A71="",0,IFERROR(INDEX('MATERIALS DB'!$Y$4:$Y$465,MATCH($A71,'MATERIALS DB'!$A$4:$A$465,0)),0))</f>
        <v>0</v>
      </c>
      <c r="I71" s="5" t="n">
        <f aca="false">B71*G71</f>
        <v>0</v>
      </c>
      <c r="J71" s="5" t="n">
        <f aca="false">I71*H71</f>
        <v>0</v>
      </c>
      <c r="K71" s="5" t="n">
        <f aca="false">I71+J71</f>
        <v>0</v>
      </c>
      <c r="L71" s="7" t="n">
        <f aca="false">IF($A71="",0,IFERROR(B71*INDEX('MATERIALS DB'!$Q$4:$Q$465,MATCH($A71,'MATERIALS DB'!$A$4:$A$465,0))*(INDEX(SUPPLIERS!$F$3:$F$30,MATCH(E71,SUPPLIERS!$A$3:$A$30,0))&lt;&gt;"Yes"),0))</f>
        <v>0</v>
      </c>
      <c r="M71" s="3" t="n">
        <f aca="false">IF($A71="",0,IFERROR(INDEX('MATERIALS DB'!$N$4:$N$465,MATCH($A71,'MATERIALS DB'!$A$4:$A$465,0)),0))</f>
        <v>0</v>
      </c>
      <c r="N71" s="8"/>
      <c r="O71" s="5" t="str">
        <f aca="false">IF(N71="","",N71-I71)</f>
        <v/>
      </c>
      <c r="Q71" s="2" t="n">
        <f aca="false">IF($A71="",0,IFERROR(INDEX('MATERIALS DB'!$K$4:$K$465,MATCH($A71,'MATERIALS DB'!$A$4:$A$465,0)),0))</f>
        <v>0</v>
      </c>
      <c r="R71" s="2" t="n">
        <f aca="false">IF($A71="",0,IF(OR(D71="All-in-one System",AND(D71="Inverter",OR(ISNUMBER(SEARCH("hybrid",C71)),ISNUMBER(SEARCH("off-grid",C71))))),1,0))</f>
        <v>0</v>
      </c>
    </row>
    <row r="72" customFormat="false" ht="15" hidden="false" customHeight="false" outlineLevel="0" collapsed="false">
      <c r="C72" s="2" t="str">
        <f aca="false">IF($A72="","",IFERROR(INDEX('MATERIALS DB'!$D$4:$D$465,MATCH($A72,'MATERIALS DB'!$A$4:$A$465,0)),"Code not found"))</f>
        <v/>
      </c>
      <c r="D72" s="2" t="str">
        <f aca="false">IF($A72="","",IFERROR(INDEX('MATERIALS DB'!$B$4:$B$465,MATCH($A72,'MATERIALS DB'!$A$4:$A$465,0)),""))</f>
        <v/>
      </c>
      <c r="E72" s="2" t="str">
        <f aca="false">IF($A72="","",IFERROR(INDEX('MATERIALS DB'!$C$4:$C$465,MATCH($A72,'MATERIALS DB'!$A$4:$A$465,0)),""))</f>
        <v/>
      </c>
      <c r="F72" s="2" t="str">
        <f aca="false">IF($A72="","",IFERROR(INDEX('MATERIALS DB'!$F$4:$F$465,MATCH($A72,'MATERIALS DB'!$A$4:$A$465,0)),""))</f>
        <v/>
      </c>
      <c r="G72" s="5" t="n">
        <f aca="false">IF($A72="",0,IFERROR(INDEX('MATERIALS DB'!$W$4:$W$465,MATCH($A72,'MATERIALS DB'!$A$4:$A$465,0)),0))</f>
        <v>0</v>
      </c>
      <c r="H72" s="6" t="n">
        <f aca="false">IF($A72="",0,IFERROR(INDEX('MATERIALS DB'!$Y$4:$Y$465,MATCH($A72,'MATERIALS DB'!$A$4:$A$465,0)),0))</f>
        <v>0</v>
      </c>
      <c r="I72" s="5" t="n">
        <f aca="false">B72*G72</f>
        <v>0</v>
      </c>
      <c r="J72" s="5" t="n">
        <f aca="false">I72*H72</f>
        <v>0</v>
      </c>
      <c r="K72" s="5" t="n">
        <f aca="false">I72+J72</f>
        <v>0</v>
      </c>
      <c r="L72" s="7" t="n">
        <f aca="false">IF($A72="",0,IFERROR(B72*INDEX('MATERIALS DB'!$Q$4:$Q$465,MATCH($A72,'MATERIALS DB'!$A$4:$A$465,0))*(INDEX(SUPPLIERS!$F$3:$F$30,MATCH(E72,SUPPLIERS!$A$3:$A$30,0))&lt;&gt;"Yes"),0))</f>
        <v>0</v>
      </c>
      <c r="M72" s="3" t="n">
        <f aca="false">IF($A72="",0,IFERROR(INDEX('MATERIALS DB'!$N$4:$N$465,MATCH($A72,'MATERIALS DB'!$A$4:$A$465,0)),0))</f>
        <v>0</v>
      </c>
      <c r="N72" s="8"/>
      <c r="O72" s="5" t="str">
        <f aca="false">IF(N72="","",N72-I72)</f>
        <v/>
      </c>
      <c r="Q72" s="2" t="n">
        <f aca="false">IF($A72="",0,IFERROR(INDEX('MATERIALS DB'!$K$4:$K$465,MATCH($A72,'MATERIALS DB'!$A$4:$A$465,0)),0))</f>
        <v>0</v>
      </c>
      <c r="R72" s="2" t="n">
        <f aca="false">IF($A72="",0,IF(OR(D72="All-in-one System",AND(D72="Inverter",OR(ISNUMBER(SEARCH("hybrid",C72)),ISNUMBER(SEARCH("off-grid",C72))))),1,0))</f>
        <v>0</v>
      </c>
    </row>
    <row r="73" customFormat="false" ht="15" hidden="false" customHeight="false" outlineLevel="0" collapsed="false">
      <c r="A73" s="1" t="s">
        <v>80</v>
      </c>
      <c r="I73" s="5" t="n">
        <f aca="false">SUM(I33:I72)</f>
        <v>207458.821216027</v>
      </c>
      <c r="J73" s="5" t="n">
        <f aca="false">SUM(J33:J72)</f>
        <v>31753.6709367143</v>
      </c>
      <c r="K73" s="5" t="n">
        <f aca="false">SUM(K33:K72)</f>
        <v>239212.492152741</v>
      </c>
      <c r="L73" s="7" t="n">
        <f aca="false">SUM(L33:L72)</f>
        <v>0.144716230001751</v>
      </c>
      <c r="N73" s="5" t="n">
        <f aca="false">SUM(N33:N72)</f>
        <v>0</v>
      </c>
      <c r="P73" s="2" t="s">
        <v>81</v>
      </c>
    </row>
    <row r="75" customFormat="false" ht="15" hidden="false" customHeight="false" outlineLevel="0" collapsed="false">
      <c r="A75" s="1" t="s">
        <v>82</v>
      </c>
    </row>
    <row r="76" customFormat="false" ht="15" hidden="false" customHeight="false" outlineLevel="0" collapsed="false">
      <c r="A76" s="1" t="s">
        <v>83</v>
      </c>
      <c r="B76" s="1" t="s">
        <v>84</v>
      </c>
      <c r="C76" s="1" t="s">
        <v>85</v>
      </c>
      <c r="D76" s="1" t="s">
        <v>86</v>
      </c>
      <c r="E76" s="1" t="s">
        <v>87</v>
      </c>
      <c r="F76" s="1" t="s">
        <v>88</v>
      </c>
    </row>
    <row r="77" customFormat="false" ht="15" hidden="false" customHeight="false" outlineLevel="0" collapsed="false">
      <c r="A77" s="2" t="s">
        <v>89</v>
      </c>
      <c r="B77" s="2" t="n">
        <v>1</v>
      </c>
      <c r="C77" s="2" t="s">
        <v>12</v>
      </c>
      <c r="D77" s="2" t="n">
        <f aca="false">B77</f>
        <v>1</v>
      </c>
      <c r="E77" s="2" t="n">
        <v>0</v>
      </c>
      <c r="F77" s="5" t="n">
        <v>0</v>
      </c>
    </row>
    <row r="78" customFormat="false" ht="15" hidden="false" customHeight="false" outlineLevel="0" collapsed="false">
      <c r="A78" s="2" t="s">
        <v>90</v>
      </c>
      <c r="B78" s="2" t="n">
        <v>2</v>
      </c>
      <c r="C78" s="2" t="str">
        <f aca="false">IF(AND(INDEX(SUPPLIERS!$F$3:$F$30,MATCH(A78,SUPPLIERS!$A$3:$A$30,0))&lt;&gt;"Yes",SUMPRODUCT(($E$33:$E$72=A78)*($B$33:$B$72&gt;0))&gt;0),"Yes","No")</f>
        <v>Yes</v>
      </c>
      <c r="D78" s="2" t="n">
        <f aca="false">IF(C78="Yes",B78,D77)</f>
        <v>2</v>
      </c>
      <c r="E78" s="2" t="n">
        <f aca="false">IF(C78="Yes",INDEX(ROUTE!$B$13:$G$18,D77,B78),0)</f>
        <v>110</v>
      </c>
      <c r="F78" s="5" t="n">
        <f aca="false">IF(C78="Yes",INDEX(ROUTE!$B$22:$G$27,D77,B78),0)</f>
        <v>1110</v>
      </c>
    </row>
    <row r="79" customFormat="false" ht="15" hidden="false" customHeight="false" outlineLevel="0" collapsed="false">
      <c r="A79" s="2" t="s">
        <v>91</v>
      </c>
      <c r="B79" s="2" t="n">
        <v>3</v>
      </c>
      <c r="C79" s="2" t="str">
        <f aca="false">IF(AND(INDEX(SUPPLIERS!$F$3:$F$30,MATCH(A79,SUPPLIERS!$A$3:$A$30,0))&lt;&gt;"Yes",SUMPRODUCT(($E$33:$E$72=A79)*($B$33:$B$72&gt;0))&gt;0),"Yes","No")</f>
        <v>Yes</v>
      </c>
      <c r="D79" s="2" t="n">
        <f aca="false">IF(C79="Yes",B79,D78)</f>
        <v>3</v>
      </c>
      <c r="E79" s="2" t="n">
        <f aca="false">IF(C79="Yes",INDEX(ROUTE!$B$13:$G$18,D78,B79),0)</f>
        <v>22</v>
      </c>
      <c r="F79" s="5" t="n">
        <f aca="false">IF(C79="Yes",INDEX(ROUTE!$B$22:$G$27,D78,B79),0)</f>
        <v>528</v>
      </c>
    </row>
    <row r="80" customFormat="false" ht="15" hidden="false" customHeight="false" outlineLevel="0" collapsed="false">
      <c r="A80" s="2" t="s">
        <v>92</v>
      </c>
      <c r="B80" s="2" t="n">
        <v>4</v>
      </c>
      <c r="C80" s="2" t="str">
        <f aca="false">IF(AND(INDEX(SUPPLIERS!$F$3:$F$30,MATCH(A80,SUPPLIERS!$A$3:$A$30,0))&lt;&gt;"Yes",SUMPRODUCT(($E$33:$E$72=A80)*($B$33:$B$72&gt;0))&gt;0),"Yes","No")</f>
        <v>Yes</v>
      </c>
      <c r="D80" s="2" t="n">
        <f aca="false">IF(C80="Yes",B80,D79)</f>
        <v>4</v>
      </c>
      <c r="E80" s="2" t="n">
        <f aca="false">IF(C80="Yes",INDEX(ROUTE!$B$13:$G$18,D79,B80),0)</f>
        <v>18</v>
      </c>
      <c r="F80" s="5" t="n">
        <f aca="false">IF(C80="Yes",INDEX(ROUTE!$B$22:$G$27,D79,B80),0)</f>
        <v>329</v>
      </c>
    </row>
    <row r="81" customFormat="false" ht="15" hidden="false" customHeight="false" outlineLevel="0" collapsed="false">
      <c r="A81" s="2" t="s">
        <v>93</v>
      </c>
      <c r="B81" s="2" t="n">
        <v>5</v>
      </c>
      <c r="C81" s="2" t="str">
        <f aca="false">IF(AND(INDEX(SUPPLIERS!$F$3:$F$30,MATCH(A81,SUPPLIERS!$A$3:$A$30,0))&lt;&gt;"Yes",SUMPRODUCT(($E$33:$E$72=A81)*($B$33:$B$72&gt;0))&gt;0),"Yes","No")</f>
        <v>Yes</v>
      </c>
      <c r="D81" s="2" t="n">
        <f aca="false">IF(C81="Yes",B81,D80)</f>
        <v>5</v>
      </c>
      <c r="E81" s="2" t="n">
        <f aca="false">IF(C81="Yes",INDEX(ROUTE!$B$13:$G$18,D80,B81),0)</f>
        <v>20</v>
      </c>
      <c r="F81" s="5" t="n">
        <f aca="false">IF(C81="Yes",INDEX(ROUTE!$B$22:$G$27,D80,B81),0)</f>
        <v>149</v>
      </c>
    </row>
    <row r="82" customFormat="false" ht="15" hidden="false" customHeight="false" outlineLevel="0" collapsed="false">
      <c r="A82" s="2" t="s">
        <v>94</v>
      </c>
      <c r="B82" s="2" t="n">
        <v>6</v>
      </c>
      <c r="C82" s="2" t="s">
        <v>12</v>
      </c>
      <c r="D82" s="2" t="n">
        <f aca="false">IF(C82="Yes",B82,D81)</f>
        <v>6</v>
      </c>
      <c r="E82" s="2" t="n">
        <f aca="false">IF(C82="Yes",INDEX(ROUTE!$B$13:$G$18,D81,B82),0)</f>
        <v>55</v>
      </c>
      <c r="F82" s="5" t="n">
        <f aca="false">IF(C82="Yes",INDEX(ROUTE!$B$22:$G$27,D81,B82),0)</f>
        <v>104</v>
      </c>
    </row>
    <row r="83" customFormat="false" ht="15" hidden="false" customHeight="false" outlineLevel="0" collapsed="false">
      <c r="A83" s="2" t="s">
        <v>89</v>
      </c>
      <c r="B83" s="2" t="n">
        <v>1</v>
      </c>
      <c r="C83" s="2" t="s">
        <v>12</v>
      </c>
      <c r="D83" s="2" t="n">
        <f aca="false">IF(C83="Yes",B83,D82)</f>
        <v>1</v>
      </c>
      <c r="E83" s="2" t="n">
        <f aca="false">IF(C83="Yes",INDEX(ROUTE!$B$13:$G$18,D82,B83),0)</f>
        <v>10</v>
      </c>
      <c r="F83" s="5" t="n">
        <f aca="false">IF(C83="Yes",INDEX(ROUTE!$B$22:$G$27,D82,B83),0)</f>
        <v>0</v>
      </c>
    </row>
    <row r="84" customFormat="false" ht="15" hidden="false" customHeight="false" outlineLevel="0" collapsed="false">
      <c r="A84" s="2" t="s">
        <v>95</v>
      </c>
      <c r="B84" s="3" t="n">
        <f aca="false">SUM(E77:E83)+2*B7</f>
        <v>235</v>
      </c>
      <c r="C84" s="2"/>
    </row>
    <row r="85" customFormat="false" ht="15" hidden="false" customHeight="false" outlineLevel="0" collapsed="false">
      <c r="A85" s="2" t="s">
        <v>96</v>
      </c>
      <c r="B85" s="5" t="n">
        <f aca="false">SUM(F77:F83)+B8</f>
        <v>2220</v>
      </c>
      <c r="C85" s="2"/>
    </row>
    <row r="86" customFormat="false" ht="15" hidden="false" customHeight="false" outlineLevel="0" collapsed="false">
      <c r="A86" s="2" t="s">
        <v>97</v>
      </c>
      <c r="B86" s="5" t="n">
        <f aca="false">(DRIVERS!B7+DRIVERS!B8+DRIVERS!B9)*DRIVERS!B18+B84*DRIVERS!B13+B85</f>
        <v>17282.1428571429</v>
      </c>
      <c r="C86" s="2" t="s">
        <v>98</v>
      </c>
    </row>
    <row r="87" customFormat="false" ht="15" hidden="false" customHeight="false" outlineLevel="0" collapsed="false">
      <c r="A87" s="2" t="s">
        <v>99</v>
      </c>
      <c r="B87" s="9" t="n">
        <f aca="false">L73</f>
        <v>0.144716230001751</v>
      </c>
      <c r="C87" s="2"/>
    </row>
    <row r="88" customFormat="false" ht="15" hidden="false" customHeight="false" outlineLevel="0" collapsed="false">
      <c r="A88" s="2" t="s">
        <v>100</v>
      </c>
      <c r="B88" s="10" t="n">
        <f aca="false">IF(L73=0,0,ROUNDUP(L73,0))</f>
        <v>1</v>
      </c>
      <c r="C88" s="2" t="s">
        <v>101</v>
      </c>
    </row>
    <row r="89" customFormat="false" ht="15" hidden="false" customHeight="false" outlineLevel="0" collapsed="false">
      <c r="A89" s="2" t="s">
        <v>102</v>
      </c>
      <c r="B89" s="5" t="n">
        <f aca="false">B88*B86</f>
        <v>17282.1428571429</v>
      </c>
      <c r="C89" s="2"/>
    </row>
    <row r="91" customFormat="false" ht="15" hidden="false" customHeight="false" outlineLevel="0" collapsed="false">
      <c r="A91" s="1" t="s">
        <v>103</v>
      </c>
    </row>
    <row r="92" customFormat="false" ht="15" hidden="false" customHeight="false" outlineLevel="0" collapsed="false">
      <c r="A92" s="2" t="s">
        <v>104</v>
      </c>
      <c r="B92" s="3" t="n">
        <f aca="false">'LABOR CALC'!I41</f>
        <v>15.8643722245762</v>
      </c>
    </row>
    <row r="93" customFormat="false" ht="15" hidden="false" customHeight="false" outlineLevel="0" collapsed="false">
      <c r="A93" s="2" t="s">
        <v>105</v>
      </c>
      <c r="B93" s="2" t="str">
        <f aca="false">'LABOR CALC'!I58</f>
        <v>1 team lead, 1 skilled, 2 laborers</v>
      </c>
    </row>
    <row r="94" customFormat="false" ht="15" hidden="false" customHeight="false" outlineLevel="0" collapsed="false">
      <c r="A94" s="2" t="s">
        <v>106</v>
      </c>
      <c r="B94" s="10" t="n">
        <f aca="false">'LABOR CALC'!I57</f>
        <v>4</v>
      </c>
    </row>
    <row r="95" customFormat="false" ht="15" hidden="false" customHeight="false" outlineLevel="0" collapsed="false">
      <c r="A95" s="2" t="s">
        <v>107</v>
      </c>
      <c r="B95" s="3" t="n">
        <f aca="false">'LABOR CALC'!I56</f>
        <v>1</v>
      </c>
    </row>
    <row r="96" customFormat="false" ht="15" hidden="false" customHeight="false" outlineLevel="0" collapsed="false">
      <c r="A96" s="2" t="s">
        <v>108</v>
      </c>
      <c r="B96" s="3" t="n">
        <f aca="false">'LABOR CALC'!I67</f>
        <v>4</v>
      </c>
    </row>
    <row r="97" customFormat="false" ht="15" hidden="false" customHeight="false" outlineLevel="0" collapsed="false">
      <c r="A97" s="2" t="s">
        <v>109</v>
      </c>
      <c r="B97" s="5" t="n">
        <f aca="false">'LABOR CALC'!I66</f>
        <v>6500</v>
      </c>
    </row>
    <row r="98" customFormat="false" ht="15" hidden="false" customHeight="false" outlineLevel="0" collapsed="false">
      <c r="A98" s="2" t="s">
        <v>110</v>
      </c>
      <c r="B98" s="5" t="n">
        <f aca="false">'LABOR CALC'!I73+B95*(2*B7*'MOB-DEMOB'!B12+B8)</f>
        <v>1300</v>
      </c>
      <c r="C98" s="2" t="s">
        <v>111</v>
      </c>
    </row>
    <row r="99" customFormat="false" ht="15" hidden="false" customHeight="false" outlineLevel="0" collapsed="false">
      <c r="A99" s="2" t="s">
        <v>112</v>
      </c>
      <c r="B99" s="5" t="n">
        <f aca="false">'LABOR CALC'!I80</f>
        <v>905.624978858076</v>
      </c>
    </row>
    <row r="101" customFormat="false" ht="15" hidden="false" customHeight="false" outlineLevel="0" collapsed="false">
      <c r="A101" s="1" t="s">
        <v>113</v>
      </c>
    </row>
    <row r="102" customFormat="false" ht="15" hidden="false" customHeight="false" outlineLevel="0" collapsed="false">
      <c r="A102" s="2" t="s">
        <v>114</v>
      </c>
      <c r="B102" s="6" t="n">
        <v>0.3</v>
      </c>
      <c r="C102" s="2" t="s">
        <v>115</v>
      </c>
    </row>
    <row r="103" customFormat="false" ht="15" hidden="false" customHeight="false" outlineLevel="0" collapsed="false">
      <c r="A103" s="2" t="s">
        <v>116</v>
      </c>
      <c r="B103" s="5" t="n">
        <v>100</v>
      </c>
      <c r="C103" s="2" t="s">
        <v>117</v>
      </c>
    </row>
    <row r="104" customFormat="false" ht="15" hidden="false" customHeight="false" outlineLevel="0" collapsed="false">
      <c r="A104" s="2" t="s">
        <v>118</v>
      </c>
      <c r="B104" s="6" t="n">
        <v>0.5</v>
      </c>
      <c r="C104" s="2" t="s">
        <v>119</v>
      </c>
    </row>
    <row r="106" customFormat="false" ht="28.35" hidden="false" customHeight="false" outlineLevel="0" collapsed="false">
      <c r="A106" s="4" t="s">
        <v>120</v>
      </c>
      <c r="B106" s="4" t="s">
        <v>121</v>
      </c>
      <c r="C106" s="4" t="s">
        <v>44</v>
      </c>
      <c r="D106" s="4" t="s">
        <v>122</v>
      </c>
      <c r="E106" s="4" t="s">
        <v>123</v>
      </c>
      <c r="F106" s="4" t="s">
        <v>124</v>
      </c>
      <c r="G106" s="4" t="s">
        <v>52</v>
      </c>
    </row>
    <row r="107" customFormat="false" ht="15" hidden="false" customHeight="false" outlineLevel="0" collapsed="false">
      <c r="A107" s="2" t="s">
        <v>125</v>
      </c>
      <c r="B107" s="5" t="n">
        <f aca="false">I73</f>
        <v>207458.821216027</v>
      </c>
      <c r="C107" s="2" t="s">
        <v>126</v>
      </c>
      <c r="D107" s="5" t="n">
        <f aca="false">J73</f>
        <v>31753.6709367143</v>
      </c>
      <c r="E107" s="5" t="n">
        <f aca="false">B107+D107</f>
        <v>239212.492152741</v>
      </c>
      <c r="F107" s="5" t="str">
        <f aca="false">IF(COUNT(N33:N72)=0,"",SUM(N33:N72)+SUMPRODUCT((N33:N72="")*I33:I72))</f>
        <v/>
      </c>
      <c r="G107" s="2" t="s">
        <v>127</v>
      </c>
    </row>
    <row r="108" customFormat="false" ht="15" hidden="false" customHeight="false" outlineLevel="0" collapsed="false">
      <c r="A108" s="2" t="s">
        <v>102</v>
      </c>
      <c r="B108" s="5" t="n">
        <f aca="false">B89</f>
        <v>17282.1428571429</v>
      </c>
      <c r="C108" s="6" t="n">
        <f aca="false">DRIVERS!B28</f>
        <v>0.15</v>
      </c>
      <c r="D108" s="5" t="n">
        <f aca="false">B108*C108</f>
        <v>2592.32142857143</v>
      </c>
      <c r="E108" s="5" t="n">
        <f aca="false">B108+D108</f>
        <v>19874.4642857143</v>
      </c>
      <c r="F108" s="8"/>
      <c r="G108" s="2"/>
    </row>
    <row r="109" customFormat="false" ht="15" hidden="false" customHeight="false" outlineLevel="0" collapsed="false">
      <c r="A109" s="2" t="s">
        <v>109</v>
      </c>
      <c r="B109" s="5" t="n">
        <f aca="false">B97</f>
        <v>6500</v>
      </c>
      <c r="C109" s="6" t="n">
        <f aca="false">$B$102</f>
        <v>0.3</v>
      </c>
      <c r="D109" s="5" t="n">
        <f aca="false">B109*C109</f>
        <v>1950</v>
      </c>
      <c r="E109" s="5" t="n">
        <f aca="false">B109+D109</f>
        <v>8450</v>
      </c>
      <c r="F109" s="8"/>
      <c r="G109" s="2"/>
    </row>
    <row r="110" customFormat="false" ht="15" hidden="false" customHeight="false" outlineLevel="0" collapsed="false">
      <c r="A110" s="2" t="s">
        <v>110</v>
      </c>
      <c r="B110" s="5" t="n">
        <f aca="false">B98</f>
        <v>1300</v>
      </c>
      <c r="C110" s="6" t="n">
        <f aca="false">$B$102</f>
        <v>0.3</v>
      </c>
      <c r="D110" s="5" t="n">
        <f aca="false">B110*C110</f>
        <v>390</v>
      </c>
      <c r="E110" s="5" t="n">
        <f aca="false">B110+D110</f>
        <v>1690</v>
      </c>
      <c r="F110" s="8"/>
      <c r="G110" s="2"/>
    </row>
    <row r="111" customFormat="false" ht="15" hidden="false" customHeight="false" outlineLevel="0" collapsed="false">
      <c r="A111" s="2" t="s">
        <v>112</v>
      </c>
      <c r="B111" s="5" t="n">
        <f aca="false">B99</f>
        <v>905.624978858076</v>
      </c>
      <c r="C111" s="6" t="n">
        <f aca="false">$B$102</f>
        <v>0.3</v>
      </c>
      <c r="D111" s="5" t="n">
        <f aca="false">B111*C111</f>
        <v>271.687493657423</v>
      </c>
      <c r="E111" s="5" t="n">
        <f aca="false">B111+D111</f>
        <v>1177.3124725155</v>
      </c>
      <c r="F111" s="8"/>
      <c r="G111" s="2"/>
    </row>
    <row r="112" customFormat="false" ht="15" hidden="false" customHeight="false" outlineLevel="0" collapsed="false">
      <c r="A112" s="2" t="s">
        <v>128</v>
      </c>
      <c r="B112" s="5" t="n">
        <f aca="false">B96*$B$103</f>
        <v>400</v>
      </c>
      <c r="C112" s="6" t="n">
        <f aca="false">$B$102</f>
        <v>0.3</v>
      </c>
      <c r="D112" s="5" t="n">
        <f aca="false">B112*C112</f>
        <v>120</v>
      </c>
      <c r="E112" s="5" t="n">
        <f aca="false">B112+D112</f>
        <v>520</v>
      </c>
      <c r="F112" s="8"/>
      <c r="G112" s="2" t="s">
        <v>129</v>
      </c>
    </row>
    <row r="113" customFormat="false" ht="15" hidden="false" customHeight="false" outlineLevel="0" collapsed="false">
      <c r="A113" s="2" t="s">
        <v>130</v>
      </c>
      <c r="B113" s="5" t="n">
        <v>1000</v>
      </c>
      <c r="C113" s="6" t="n">
        <f aca="false">$B$102</f>
        <v>0.3</v>
      </c>
      <c r="D113" s="5" t="n">
        <f aca="false">B113*C113</f>
        <v>300</v>
      </c>
      <c r="E113" s="5" t="n">
        <f aca="false">B113+D113</f>
        <v>1300</v>
      </c>
      <c r="F113" s="8"/>
      <c r="G113" s="2" t="s">
        <v>131</v>
      </c>
    </row>
    <row r="114" customFormat="false" ht="15" hidden="false" customHeight="false" outlineLevel="0" collapsed="false">
      <c r="A114" s="2" t="s">
        <v>132</v>
      </c>
      <c r="B114" s="5" t="n">
        <v>5000</v>
      </c>
      <c r="C114" s="6" t="n">
        <v>0</v>
      </c>
      <c r="D114" s="5" t="n">
        <f aca="false">B114*C114</f>
        <v>0</v>
      </c>
      <c r="E114" s="5" t="n">
        <f aca="false">B114+D114</f>
        <v>5000</v>
      </c>
      <c r="F114" s="8"/>
      <c r="G114" s="2" t="s">
        <v>133</v>
      </c>
    </row>
    <row r="115" customFormat="false" ht="15" hidden="false" customHeight="false" outlineLevel="0" collapsed="false">
      <c r="A115" s="2" t="s">
        <v>134</v>
      </c>
      <c r="B115" s="5" t="n">
        <f aca="false">IF(($B$9="Yes"),1500,0)</f>
        <v>1500</v>
      </c>
      <c r="C115" s="6" t="n">
        <v>0</v>
      </c>
      <c r="D115" s="5" t="n">
        <f aca="false">B115*C115</f>
        <v>0</v>
      </c>
      <c r="E115" s="5" t="n">
        <f aca="false">B115+D115</f>
        <v>1500</v>
      </c>
      <c r="F115" s="8"/>
      <c r="G115" s="2" t="s">
        <v>135</v>
      </c>
    </row>
    <row r="116" customFormat="false" ht="15" hidden="false" customHeight="false" outlineLevel="0" collapsed="false">
      <c r="A116" s="2" t="s">
        <v>136</v>
      </c>
      <c r="B116" s="5" t="n">
        <f aca="false">IF(($B$9="Yes"),3000,0)</f>
        <v>3000</v>
      </c>
      <c r="C116" s="6" t="n">
        <v>0</v>
      </c>
      <c r="D116" s="5" t="n">
        <f aca="false">B116*C116</f>
        <v>0</v>
      </c>
      <c r="E116" s="5" t="n">
        <f aca="false">B116+D116</f>
        <v>3000</v>
      </c>
      <c r="F116" s="8"/>
      <c r="G116" s="2" t="s">
        <v>137</v>
      </c>
    </row>
    <row r="117" customFormat="false" ht="15" hidden="false" customHeight="false" outlineLevel="0" collapsed="false">
      <c r="A117" s="1" t="s">
        <v>138</v>
      </c>
      <c r="B117" s="5" t="n">
        <f aca="false">SUM(B107:B116)</f>
        <v>244346.589052027</v>
      </c>
      <c r="C117" s="9" t="n">
        <f aca="false">D117/B117</f>
        <v>0.152969926872949</v>
      </c>
      <c r="D117" s="5" t="n">
        <f aca="false">SUM(D107:D116)</f>
        <v>37377.6798589431</v>
      </c>
      <c r="E117" s="5" t="n">
        <f aca="false">SUM(E107:E116)</f>
        <v>281724.268910971</v>
      </c>
      <c r="G117" s="2" t="s">
        <v>139</v>
      </c>
    </row>
    <row r="119" customFormat="false" ht="15" hidden="false" customHeight="false" outlineLevel="0" collapsed="false">
      <c r="A119" s="2" t="s">
        <v>140</v>
      </c>
      <c r="B119" s="5" t="n">
        <f aca="false">B117*DRIVERS!B26</f>
        <v>12217.3294526014</v>
      </c>
    </row>
    <row r="120" customFormat="false" ht="15" hidden="false" customHeight="false" outlineLevel="0" collapsed="false">
      <c r="A120" s="2" t="s">
        <v>141</v>
      </c>
      <c r="B120" s="5" t="n">
        <f aca="false">E117+B119</f>
        <v>293941.598363572</v>
      </c>
    </row>
    <row r="121" customFormat="false" ht="15" hidden="false" customHeight="false" outlineLevel="0" collapsed="false">
      <c r="A121" s="2" t="s">
        <v>142</v>
      </c>
      <c r="B121" s="5" t="n">
        <f aca="false">B120*DRIVERS!B27</f>
        <v>35272.9918036286</v>
      </c>
    </row>
    <row r="122" customFormat="false" ht="15" hidden="false" customHeight="false" outlineLevel="0" collapsed="false">
      <c r="A122" s="1" t="s">
        <v>143</v>
      </c>
      <c r="B122" s="11" t="n">
        <f aca="false">B120+B121</f>
        <v>329214.590167201</v>
      </c>
    </row>
    <row r="123" customFormat="false" ht="15" hidden="false" customHeight="false" outlineLevel="0" collapsed="false">
      <c r="A123" s="1" t="s">
        <v>144</v>
      </c>
      <c r="B123" s="11" t="n">
        <f aca="false">ROUNDUP(B122/100,0)*100</f>
        <v>329300</v>
      </c>
    </row>
    <row r="124" customFormat="false" ht="15" hidden="false" customHeight="false" outlineLevel="0" collapsed="false">
      <c r="A124" s="2" t="s">
        <v>145</v>
      </c>
      <c r="B124" s="5" t="n">
        <f aca="false">D117*B104</f>
        <v>18688.8399294716</v>
      </c>
    </row>
    <row r="125" customFormat="false" ht="15" hidden="false" customHeight="false" outlineLevel="0" collapsed="false">
      <c r="A125" s="2" t="s">
        <v>146</v>
      </c>
      <c r="B125" s="5" t="n">
        <f aca="false">D117-B124</f>
        <v>18688.8399294716</v>
      </c>
    </row>
    <row r="126" customFormat="false" ht="15" hidden="false" customHeight="false" outlineLevel="0" collapsed="false">
      <c r="A126" s="2" t="s">
        <v>147</v>
      </c>
      <c r="B126" s="12" t="n">
        <f aca="false">SUMPRODUCT(($D$33:$D$72="Solar Panel")*$B$33:$B$72*$Q$33:$Q$72)/1000</f>
        <v>5.04</v>
      </c>
    </row>
    <row r="127" customFormat="false" ht="15" hidden="false" customHeight="false" outlineLevel="0" collapsed="false">
      <c r="A127" s="2" t="s">
        <v>148</v>
      </c>
      <c r="B127" s="5" t="n">
        <f aca="false">IF(B126=0,"",B123/(B126*1000))</f>
        <v>65.3373015873016</v>
      </c>
    </row>
    <row r="129" customFormat="false" ht="15" hidden="false" customHeight="false" outlineLevel="0" collapsed="false">
      <c r="A129" s="1" t="s">
        <v>149</v>
      </c>
    </row>
    <row r="130" customFormat="false" ht="15" hidden="false" customHeight="false" outlineLevel="0" collapsed="false">
      <c r="A130" s="2" t="s">
        <v>150</v>
      </c>
      <c r="B130" s="5" t="str">
        <f aca="false">IF(COUNT(F107:F116)=0,"",SUM(F107:F116)+SUMPRODUCT((F107:F116="")*B107:B116))</f>
        <v/>
      </c>
      <c r="C130" s="2" t="s">
        <v>151</v>
      </c>
    </row>
    <row r="131" customFormat="false" ht="15" hidden="false" customHeight="false" outlineLevel="0" collapsed="false">
      <c r="A131" s="2" t="s">
        <v>152</v>
      </c>
      <c r="B131" s="5" t="str">
        <f aca="false">IF(B130="","",B120-B130-B119)</f>
        <v/>
      </c>
    </row>
    <row r="132" customFormat="false" ht="15" hidden="false" customHeight="false" outlineLevel="0" collapsed="false">
      <c r="A132" s="2" t="s">
        <v>153</v>
      </c>
      <c r="B132" s="5" t="str">
        <f aca="false">IF(B130="","",B124)</f>
        <v/>
      </c>
    </row>
    <row r="133" customFormat="false" ht="15" hidden="false" customHeight="false" outlineLevel="0" collapsed="false">
      <c r="A133" s="2" t="s">
        <v>154</v>
      </c>
      <c r="B133" s="5" t="str">
        <f aca="false">IF(B130="","",B131-B132)</f>
        <v/>
      </c>
    </row>
  </sheetData>
  <dataValidations count="1">
    <dataValidation allowBlank="true" errorStyle="stop" operator="between" showDropDown="false" showErrorMessage="false" showInputMessage="false" sqref="A33:A72" type="list">
      <formula1>'MATERIALS DB'!$A$4:$A$465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4"/>
    <col collapsed="false" customWidth="true" hidden="false" outlineLevel="0" max="4" min="4" style="0" width="44"/>
    <col collapsed="false" customWidth="true" hidden="false" outlineLevel="0" max="5" min="5" style="0" width="40"/>
    <col collapsed="false" customWidth="true" hidden="false" outlineLevel="0" max="6" min="6" style="0" width="6"/>
    <col collapsed="false" customWidth="true" hidden="false" outlineLevel="0" max="7" min="7" style="0" width="16"/>
    <col collapsed="false" customWidth="true" hidden="false" outlineLevel="0" max="8" min="8" style="0" width="13"/>
    <col collapsed="false" customWidth="true" hidden="false" outlineLevel="0" max="9" min="9" style="0" width="9"/>
    <col collapsed="false" customWidth="true" hidden="false" outlineLevel="0" max="10" min="10" style="0" width="13"/>
    <col collapsed="false" customWidth="true" hidden="false" outlineLevel="0" max="11" min="11" style="0" width="8"/>
    <col collapsed="false" customWidth="true" hidden="false" outlineLevel="0" max="12" min="12" style="0" width="7"/>
    <col collapsed="false" customWidth="true" hidden="false" outlineLevel="0" max="13" min="13" style="0" width="12"/>
    <col collapsed="false" customWidth="true" hidden="false" outlineLevel="0" max="15" min="14" style="0" width="10"/>
    <col collapsed="false" customWidth="true" hidden="false" outlineLevel="0" max="16" min="16" style="0" width="28"/>
    <col collapsed="false" customWidth="true" hidden="false" outlineLevel="0" max="17" min="17" style="0" width="10"/>
    <col collapsed="false" customWidth="true" hidden="false" outlineLevel="0" max="18" min="18" style="0" width="9"/>
    <col collapsed="false" customWidth="true" hidden="false" outlineLevel="0" max="20" min="19" style="0" width="10"/>
    <col collapsed="false" customWidth="true" hidden="false" outlineLevel="0" max="22" min="21" style="0" width="9"/>
    <col collapsed="false" customWidth="true" hidden="false" outlineLevel="0" max="23" min="23" style="0" width="13"/>
    <col collapsed="false" customWidth="true" hidden="false" outlineLevel="0" max="24" min="24" style="0" width="9"/>
    <col collapsed="false" customWidth="true" hidden="false" outlineLevel="0" max="25" min="25" style="0" width="8"/>
    <col collapsed="false" customWidth="true" hidden="false" outlineLevel="0" max="27" min="26" style="0" width="14"/>
    <col collapsed="false" customWidth="true" hidden="false" outlineLevel="0" max="28" min="28" style="0" width="15"/>
    <col collapsed="false" customWidth="true" hidden="false" outlineLevel="0" max="29" min="29" style="0" width="12"/>
    <col collapsed="false" customWidth="true" hidden="false" outlineLevel="0" max="30" min="30" style="0" width="80"/>
  </cols>
  <sheetData>
    <row r="1" customFormat="false" ht="15" hidden="false" customHeight="false" outlineLevel="0" collapsed="false">
      <c r="A1" s="1" t="s">
        <v>155</v>
      </c>
    </row>
    <row r="3" customFormat="false" ht="45" hidden="false" customHeight="true" outlineLevel="0" collapsed="false">
      <c r="A3" s="4" t="s">
        <v>156</v>
      </c>
      <c r="B3" s="4" t="s">
        <v>157</v>
      </c>
      <c r="C3" s="4" t="s">
        <v>158</v>
      </c>
      <c r="D3" s="4" t="s">
        <v>39</v>
      </c>
      <c r="E3" s="4" t="s">
        <v>159</v>
      </c>
      <c r="F3" s="4" t="s">
        <v>42</v>
      </c>
      <c r="G3" s="4" t="s">
        <v>160</v>
      </c>
      <c r="H3" s="4" t="s">
        <v>161</v>
      </c>
      <c r="I3" s="4" t="s">
        <v>162</v>
      </c>
      <c r="J3" s="4" t="s">
        <v>163</v>
      </c>
      <c r="K3" s="4" t="s">
        <v>164</v>
      </c>
      <c r="L3" s="4" t="s">
        <v>165</v>
      </c>
      <c r="M3" s="4" t="s">
        <v>166</v>
      </c>
      <c r="N3" s="4" t="s">
        <v>167</v>
      </c>
      <c r="O3" s="4" t="s">
        <v>168</v>
      </c>
      <c r="P3" s="4" t="s">
        <v>169</v>
      </c>
      <c r="Q3" s="4" t="s">
        <v>170</v>
      </c>
      <c r="R3" s="4" t="s">
        <v>171</v>
      </c>
      <c r="S3" s="4" t="s">
        <v>172</v>
      </c>
      <c r="T3" s="4" t="s">
        <v>173</v>
      </c>
      <c r="U3" s="4" t="s">
        <v>174</v>
      </c>
      <c r="V3" s="4" t="s">
        <v>175</v>
      </c>
      <c r="W3" s="4" t="s">
        <v>176</v>
      </c>
      <c r="X3" s="4" t="s">
        <v>177</v>
      </c>
      <c r="Y3" s="4" t="s">
        <v>44</v>
      </c>
      <c r="Z3" s="4" t="s">
        <v>178</v>
      </c>
      <c r="AA3" s="4" t="s">
        <v>179</v>
      </c>
      <c r="AB3" s="4" t="s">
        <v>180</v>
      </c>
      <c r="AC3" s="4" t="s">
        <v>181</v>
      </c>
      <c r="AD3" s="4" t="s">
        <v>52</v>
      </c>
    </row>
    <row r="4" customFormat="false" ht="15" hidden="false" customHeight="false" outlineLevel="0" collapsed="false">
      <c r="A4" s="2" t="s">
        <v>182</v>
      </c>
      <c r="B4" s="2" t="s">
        <v>183</v>
      </c>
      <c r="C4" s="2" t="s">
        <v>93</v>
      </c>
      <c r="D4" s="2" t="s">
        <v>184</v>
      </c>
      <c r="E4" s="2" t="s">
        <v>185</v>
      </c>
      <c r="F4" s="2" t="s">
        <v>186</v>
      </c>
      <c r="G4" s="2" t="s">
        <v>186</v>
      </c>
      <c r="H4" s="5" t="n">
        <v>4950</v>
      </c>
      <c r="I4" s="6" t="n">
        <f aca="false">INDEX(SUPPLIERS!$D$3:$D$30,MATCH(C4,SUPPLIERS!$A$3:$A$30,0))</f>
        <v>0</v>
      </c>
      <c r="J4" s="5" t="n">
        <f aca="false">H4*(1-I4)</f>
        <v>4950</v>
      </c>
      <c r="K4" s="2" t="n">
        <v>585</v>
      </c>
      <c r="L4" s="2" t="s">
        <v>187</v>
      </c>
      <c r="M4" s="5" t="n">
        <f aca="false">IF(K4="","",J4/K4)</f>
        <v>8.46153846153846</v>
      </c>
      <c r="N4" s="2" t="n">
        <v>26</v>
      </c>
      <c r="O4" s="13" t="n">
        <v>0.08525</v>
      </c>
      <c r="P4" s="2" t="s">
        <v>188</v>
      </c>
      <c r="Q4" s="14" t="n">
        <f aca="false">MAX(N4/DRIVERS!$B$5,O4/DRIVERS!$B$6)</f>
        <v>0.00866666666666667</v>
      </c>
      <c r="R4" s="15" t="n">
        <f aca="false">ROUNDDOWN(1/Q4,0)</f>
        <v>115</v>
      </c>
      <c r="S4" s="5" t="n">
        <f aca="false">DRIVERS!$B$23*Q4/DRIVERS!$B$24</f>
        <v>44.9880238414462</v>
      </c>
      <c r="T4" s="5" t="n">
        <f aca="false">J4*INDEX(DRIVERS!$C$32:$C$42,MATCH(B4,DRIVERS!$A$32:$A$42,0))</f>
        <v>0</v>
      </c>
      <c r="U4" s="5" t="n">
        <f aca="false">J4*INDEX(SUPPLIERS!$E$3:$E$30,MATCH(C4,SUPPLIERS!$A$3:$A$30,0))</f>
        <v>0</v>
      </c>
      <c r="V4" s="5" t="n">
        <v>0</v>
      </c>
      <c r="W4" s="5" t="n">
        <f aca="false">J4+S4+T4+U4+V4</f>
        <v>4994.98802384145</v>
      </c>
      <c r="X4" s="9" t="n">
        <f aca="false">W4/J4-1</f>
        <v>0.00908848966493858</v>
      </c>
      <c r="Y4" s="6" t="n">
        <f aca="false">INDEX(DRIVERS!$B$32:$B$42,MATCH(B4,DRIVERS!$A$32:$A$42,0))</f>
        <v>0.1</v>
      </c>
      <c r="Z4" s="5" t="n">
        <f aca="false">W4*(1+Y4)</f>
        <v>5494.48682622559</v>
      </c>
      <c r="AA4" s="5" t="n">
        <f aca="false">W4*(1+Y4+DRIVERS!$B$26)*(1+DRIVERS!$B$27)</f>
        <v>6433.54457470778</v>
      </c>
      <c r="AB4" s="2" t="s">
        <v>189</v>
      </c>
      <c r="AC4" s="5" t="n">
        <v>4950</v>
      </c>
      <c r="AD4" s="2" t="s">
        <v>190</v>
      </c>
    </row>
    <row r="5" customFormat="false" ht="15" hidden="false" customHeight="false" outlineLevel="0" collapsed="false">
      <c r="A5" s="2" t="s">
        <v>191</v>
      </c>
      <c r="B5" s="2" t="s">
        <v>183</v>
      </c>
      <c r="C5" s="2" t="s">
        <v>93</v>
      </c>
      <c r="D5" s="2" t="s">
        <v>192</v>
      </c>
      <c r="E5" s="2" t="s">
        <v>193</v>
      </c>
      <c r="F5" s="2" t="s">
        <v>186</v>
      </c>
      <c r="G5" s="2" t="s">
        <v>186</v>
      </c>
      <c r="H5" s="5" t="n">
        <v>4980</v>
      </c>
      <c r="I5" s="6" t="n">
        <f aca="false">INDEX(SUPPLIERS!$D$3:$D$30,MATCH(C5,SUPPLIERS!$A$3:$A$30,0))</f>
        <v>0</v>
      </c>
      <c r="J5" s="5" t="n">
        <f aca="false">H5*(1-I5)</f>
        <v>4980</v>
      </c>
      <c r="K5" s="2" t="n">
        <v>585</v>
      </c>
      <c r="L5" s="2" t="s">
        <v>187</v>
      </c>
      <c r="M5" s="5" t="n">
        <f aca="false">IF(K5="","",J5/K5)</f>
        <v>8.51282051282051</v>
      </c>
      <c r="N5" s="2" t="n">
        <v>30.2</v>
      </c>
      <c r="O5" s="13" t="n">
        <v>0.08525</v>
      </c>
      <c r="P5" s="2" t="s">
        <v>188</v>
      </c>
      <c r="Q5" s="14" t="n">
        <f aca="false">MAX(N5/DRIVERS!$B$5,O5/DRIVERS!$B$6)</f>
        <v>0.0100666666666667</v>
      </c>
      <c r="R5" s="15" t="n">
        <f aca="false">ROUNDDOWN(1/Q5,0)</f>
        <v>99</v>
      </c>
      <c r="S5" s="5" t="n">
        <f aca="false">DRIVERS!$B$23*Q5/DRIVERS!$B$24</f>
        <v>52.2553200004491</v>
      </c>
      <c r="T5" s="5" t="n">
        <f aca="false">J5*INDEX(DRIVERS!$C$32:$C$42,MATCH(B5,DRIVERS!$A$32:$A$42,0))</f>
        <v>0</v>
      </c>
      <c r="U5" s="5" t="n">
        <f aca="false">J5*INDEX(SUPPLIERS!$E$3:$E$30,MATCH(C5,SUPPLIERS!$A$3:$A$30,0))</f>
        <v>0</v>
      </c>
      <c r="V5" s="5" t="n">
        <v>0</v>
      </c>
      <c r="W5" s="5" t="n">
        <f aca="false">J5+S5+T5+U5+V5</f>
        <v>5032.25532000045</v>
      </c>
      <c r="X5" s="9" t="n">
        <f aca="false">W5/J5-1</f>
        <v>0.0104930361446687</v>
      </c>
      <c r="Y5" s="6" t="n">
        <f aca="false">INDEX(DRIVERS!$B$32:$B$42,MATCH(B5,DRIVERS!$A$32:$A$42,0))</f>
        <v>0.1</v>
      </c>
      <c r="Z5" s="5" t="n">
        <f aca="false">W5*(1+Y5)</f>
        <v>5535.48085200049</v>
      </c>
      <c r="AA5" s="5" t="n">
        <f aca="false">W5*(1+Y5+DRIVERS!$B$26)*(1+DRIVERS!$B$27)</f>
        <v>6481.54485216058</v>
      </c>
      <c r="AB5" s="2" t="s">
        <v>189</v>
      </c>
      <c r="AC5" s="5" t="n">
        <v>4980</v>
      </c>
    </row>
    <row r="6" customFormat="false" ht="15" hidden="false" customHeight="false" outlineLevel="0" collapsed="false">
      <c r="A6" s="2" t="s">
        <v>194</v>
      </c>
      <c r="B6" s="2" t="s">
        <v>183</v>
      </c>
      <c r="C6" s="2" t="s">
        <v>93</v>
      </c>
      <c r="D6" s="2" t="s">
        <v>195</v>
      </c>
      <c r="E6" s="2" t="s">
        <v>196</v>
      </c>
      <c r="F6" s="2" t="s">
        <v>186</v>
      </c>
      <c r="G6" s="2" t="s">
        <v>186</v>
      </c>
      <c r="H6" s="5" t="n">
        <v>4999</v>
      </c>
      <c r="I6" s="6" t="n">
        <f aca="false">INDEX(SUPPLIERS!$D$3:$D$30,MATCH(C6,SUPPLIERS!$A$3:$A$30,0))</f>
        <v>0</v>
      </c>
      <c r="J6" s="5" t="n">
        <f aca="false">H6*(1-I6)</f>
        <v>4999</v>
      </c>
      <c r="K6" s="2" t="n">
        <v>600</v>
      </c>
      <c r="L6" s="2" t="s">
        <v>187</v>
      </c>
      <c r="M6" s="5" t="n">
        <f aca="false">IF(K6="","",J6/K6)</f>
        <v>8.33166666666667</v>
      </c>
      <c r="N6" s="2" t="n">
        <v>27.7</v>
      </c>
      <c r="O6" s="13" t="n">
        <v>0.08914</v>
      </c>
      <c r="P6" s="2" t="s">
        <v>188</v>
      </c>
      <c r="Q6" s="14" t="n">
        <f aca="false">MAX(N6/DRIVERS!$B$5,O6/DRIVERS!$B$6)</f>
        <v>0.00923333333333333</v>
      </c>
      <c r="R6" s="15" t="n">
        <f aca="false">ROUNDDOWN(1/Q6,0)</f>
        <v>108</v>
      </c>
      <c r="S6" s="5" t="n">
        <f aca="false">DRIVERS!$B$23*Q6/DRIVERS!$B$24</f>
        <v>47.9295484772331</v>
      </c>
      <c r="T6" s="5" t="n">
        <f aca="false">J6*INDEX(DRIVERS!$C$32:$C$42,MATCH(B6,DRIVERS!$A$32:$A$42,0))</f>
        <v>0</v>
      </c>
      <c r="U6" s="5" t="n">
        <f aca="false">J6*INDEX(SUPPLIERS!$E$3:$E$30,MATCH(C6,SUPPLIERS!$A$3:$A$30,0))</f>
        <v>0</v>
      </c>
      <c r="V6" s="5" t="n">
        <v>0</v>
      </c>
      <c r="W6" s="5" t="n">
        <f aca="false">J6+S6+T6+U6+V6</f>
        <v>5046.92954847723</v>
      </c>
      <c r="X6" s="9" t="n">
        <f aca="false">W6/J6-1</f>
        <v>0.00958782726089869</v>
      </c>
      <c r="Y6" s="6" t="n">
        <f aca="false">INDEX(DRIVERS!$B$32:$B$42,MATCH(B6,DRIVERS!$A$32:$A$42,0))</f>
        <v>0.1</v>
      </c>
      <c r="Z6" s="5" t="n">
        <f aca="false">W6*(1+Y6)</f>
        <v>5551.62250332496</v>
      </c>
      <c r="AA6" s="5" t="n">
        <f aca="false">W6*(1+Y6+DRIVERS!$B$26)*(1+DRIVERS!$B$27)</f>
        <v>6500.44525843868</v>
      </c>
      <c r="AB6" s="2" t="s">
        <v>189</v>
      </c>
      <c r="AC6" s="5" t="n">
        <v>4999</v>
      </c>
      <c r="AD6" s="2" t="s">
        <v>197</v>
      </c>
    </row>
    <row r="7" customFormat="false" ht="15" hidden="false" customHeight="false" outlineLevel="0" collapsed="false">
      <c r="A7" s="2" t="s">
        <v>55</v>
      </c>
      <c r="B7" s="2" t="s">
        <v>183</v>
      </c>
      <c r="C7" s="2" t="s">
        <v>93</v>
      </c>
      <c r="D7" s="2" t="s">
        <v>198</v>
      </c>
      <c r="E7" s="2" t="s">
        <v>199</v>
      </c>
      <c r="F7" s="2" t="s">
        <v>186</v>
      </c>
      <c r="G7" s="2" t="s">
        <v>186</v>
      </c>
      <c r="H7" s="5" t="n">
        <v>5450</v>
      </c>
      <c r="I7" s="6" t="n">
        <f aca="false">INDEX(SUPPLIERS!$D$3:$D$30,MATCH(C7,SUPPLIERS!$A$3:$A$30,0))</f>
        <v>0</v>
      </c>
      <c r="J7" s="5" t="n">
        <f aca="false">H7*(1-I7)</f>
        <v>5450</v>
      </c>
      <c r="K7" s="2" t="n">
        <v>630</v>
      </c>
      <c r="L7" s="2" t="s">
        <v>187</v>
      </c>
      <c r="M7" s="5" t="n">
        <f aca="false">IF(K7="","",J7/K7)</f>
        <v>8.65079365079365</v>
      </c>
      <c r="N7" s="2" t="n">
        <v>27.7</v>
      </c>
      <c r="O7" s="13" t="n">
        <v>0.08914</v>
      </c>
      <c r="P7" s="2" t="s">
        <v>188</v>
      </c>
      <c r="Q7" s="14" t="n">
        <f aca="false">MAX(N7/DRIVERS!$B$5,O7/DRIVERS!$B$6)</f>
        <v>0.00923333333333333</v>
      </c>
      <c r="R7" s="15" t="n">
        <f aca="false">ROUNDDOWN(1/Q7,0)</f>
        <v>108</v>
      </c>
      <c r="S7" s="5" t="n">
        <f aca="false">DRIVERS!$B$23*Q7/DRIVERS!$B$24</f>
        <v>47.9295484772331</v>
      </c>
      <c r="T7" s="5" t="n">
        <f aca="false">J7*INDEX(DRIVERS!$C$32:$C$42,MATCH(B7,DRIVERS!$A$32:$A$42,0))</f>
        <v>0</v>
      </c>
      <c r="U7" s="5" t="n">
        <f aca="false">J7*INDEX(SUPPLIERS!$E$3:$E$30,MATCH(C7,SUPPLIERS!$A$3:$A$30,0))</f>
        <v>0</v>
      </c>
      <c r="V7" s="5" t="n">
        <v>0</v>
      </c>
      <c r="W7" s="5" t="n">
        <f aca="false">J7+S7+T7+U7+V7</f>
        <v>5497.92954847723</v>
      </c>
      <c r="X7" s="9" t="n">
        <f aca="false">W7/J7-1</f>
        <v>0.00879441256462998</v>
      </c>
      <c r="Y7" s="6" t="n">
        <f aca="false">INDEX(DRIVERS!$B$32:$B$42,MATCH(B7,DRIVERS!$A$32:$A$42,0))</f>
        <v>0.1</v>
      </c>
      <c r="Z7" s="5" t="n">
        <f aca="false">W7*(1+Y7)</f>
        <v>6047.72250332496</v>
      </c>
      <c r="AA7" s="5" t="n">
        <f aca="false">W7*(1+Y7+DRIVERS!$B$26)*(1+DRIVERS!$B$27)</f>
        <v>7081.33325843868</v>
      </c>
      <c r="AB7" s="2" t="s">
        <v>189</v>
      </c>
      <c r="AC7" s="8"/>
      <c r="AD7" s="2" t="s">
        <v>200</v>
      </c>
    </row>
    <row r="8" customFormat="false" ht="15" hidden="false" customHeight="false" outlineLevel="0" collapsed="false">
      <c r="A8" s="2" t="s">
        <v>201</v>
      </c>
      <c r="B8" s="2" t="s">
        <v>183</v>
      </c>
      <c r="C8" s="2" t="s">
        <v>90</v>
      </c>
      <c r="D8" s="2" t="s">
        <v>202</v>
      </c>
      <c r="E8" s="2" t="s">
        <v>203</v>
      </c>
      <c r="F8" s="2" t="s">
        <v>186</v>
      </c>
      <c r="G8" s="2" t="s">
        <v>186</v>
      </c>
      <c r="H8" s="5" t="n">
        <v>6750</v>
      </c>
      <c r="I8" s="6" t="n">
        <f aca="false">INDEX(SUPPLIERS!$D$3:$D$30,MATCH(C8,SUPPLIERS!$A$3:$A$30,0))</f>
        <v>0</v>
      </c>
      <c r="J8" s="5" t="n">
        <f aca="false">H8*(1-I8)</f>
        <v>6750</v>
      </c>
      <c r="K8" s="2" t="n">
        <v>720</v>
      </c>
      <c r="L8" s="2" t="s">
        <v>187</v>
      </c>
      <c r="M8" s="5" t="n">
        <f aca="false">IF(K8="","",J8/K8)</f>
        <v>9.375</v>
      </c>
      <c r="N8" s="2" t="n">
        <v>38.2</v>
      </c>
      <c r="O8" s="13" t="n">
        <v>0.11276</v>
      </c>
      <c r="P8" s="2" t="s">
        <v>204</v>
      </c>
      <c r="Q8" s="14" t="n">
        <f aca="false">MAX(N8/DRIVERS!$B$5,O8/DRIVERS!$B$6)</f>
        <v>0.0127333333333333</v>
      </c>
      <c r="R8" s="15" t="n">
        <f aca="false">ROUNDDOWN(1/Q8,0)</f>
        <v>78</v>
      </c>
      <c r="S8" s="5" t="n">
        <f aca="false">DRIVERS!$B$23*Q8/DRIVERS!$B$24</f>
        <v>66.0977888747402</v>
      </c>
      <c r="T8" s="5" t="n">
        <f aca="false">J8*INDEX(DRIVERS!$C$32:$C$42,MATCH(B8,DRIVERS!$A$32:$A$42,0))</f>
        <v>0</v>
      </c>
      <c r="U8" s="5" t="n">
        <f aca="false">J8*INDEX(SUPPLIERS!$E$3:$E$30,MATCH(C8,SUPPLIERS!$A$3:$A$30,0))</f>
        <v>0</v>
      </c>
      <c r="V8" s="5" t="n">
        <v>0</v>
      </c>
      <c r="W8" s="5" t="n">
        <f aca="false">J8+S8+T8+U8+V8</f>
        <v>6816.09778887474</v>
      </c>
      <c r="X8" s="9" t="n">
        <f aca="false">W8/J8-1</f>
        <v>0.00979226501848007</v>
      </c>
      <c r="Y8" s="6" t="n">
        <f aca="false">INDEX(DRIVERS!$B$32:$B$42,MATCH(B8,DRIVERS!$A$32:$A$42,0))</f>
        <v>0.1</v>
      </c>
      <c r="Z8" s="5" t="n">
        <f aca="false">W8*(1+Y8)</f>
        <v>7497.70756776222</v>
      </c>
      <c r="AA8" s="5" t="n">
        <f aca="false">W8*(1+Y8+DRIVERS!$B$26)*(1+DRIVERS!$B$27)</f>
        <v>8779.13395207067</v>
      </c>
      <c r="AB8" s="2" t="s">
        <v>205</v>
      </c>
      <c r="AC8" s="8"/>
    </row>
    <row r="9" customFormat="false" ht="15" hidden="false" customHeight="false" outlineLevel="0" collapsed="false">
      <c r="A9" s="2" t="s">
        <v>206</v>
      </c>
      <c r="B9" s="2" t="s">
        <v>183</v>
      </c>
      <c r="C9" s="2" t="s">
        <v>90</v>
      </c>
      <c r="D9" s="2" t="s">
        <v>207</v>
      </c>
      <c r="E9" s="2" t="s">
        <v>208</v>
      </c>
      <c r="F9" s="2" t="s">
        <v>186</v>
      </c>
      <c r="G9" s="2" t="s">
        <v>186</v>
      </c>
      <c r="H9" s="5" t="n">
        <v>6400</v>
      </c>
      <c r="I9" s="6" t="n">
        <f aca="false">INDEX(SUPPLIERS!$D$3:$D$30,MATCH(C9,SUPPLIERS!$A$3:$A$30,0))</f>
        <v>0</v>
      </c>
      <c r="J9" s="5" t="n">
        <f aca="false">H9*(1-I9)</f>
        <v>6400</v>
      </c>
      <c r="K9" s="2" t="n">
        <v>670</v>
      </c>
      <c r="L9" s="2" t="s">
        <v>187</v>
      </c>
      <c r="M9" s="5" t="n">
        <f aca="false">IF(K9="","",J9/K9)</f>
        <v>9.55223880597015</v>
      </c>
      <c r="N9" s="2" t="n">
        <v>32.5</v>
      </c>
      <c r="O9" s="13" t="n">
        <v>0.08914</v>
      </c>
      <c r="P9" s="2" t="s">
        <v>204</v>
      </c>
      <c r="Q9" s="14" t="n">
        <f aca="false">MAX(N9/DRIVERS!$B$5,O9/DRIVERS!$B$6)</f>
        <v>0.0108333333333333</v>
      </c>
      <c r="R9" s="15" t="n">
        <f aca="false">ROUNDDOWN(1/Q9,0)</f>
        <v>92</v>
      </c>
      <c r="S9" s="5" t="n">
        <f aca="false">DRIVERS!$B$23*Q9/DRIVERS!$B$24</f>
        <v>56.2350298018078</v>
      </c>
      <c r="T9" s="5" t="n">
        <f aca="false">J9*INDEX(DRIVERS!$C$32:$C$42,MATCH(B9,DRIVERS!$A$32:$A$42,0))</f>
        <v>0</v>
      </c>
      <c r="U9" s="5" t="n">
        <f aca="false">J9*INDEX(SUPPLIERS!$E$3:$E$30,MATCH(C9,SUPPLIERS!$A$3:$A$30,0))</f>
        <v>0</v>
      </c>
      <c r="V9" s="5" t="n">
        <v>0</v>
      </c>
      <c r="W9" s="5" t="n">
        <f aca="false">J9+S9+T9+U9+V9</f>
        <v>6456.23502980181</v>
      </c>
      <c r="X9" s="9" t="n">
        <f aca="false">W9/J9-1</f>
        <v>0.00878672340653264</v>
      </c>
      <c r="Y9" s="6" t="n">
        <f aca="false">INDEX(DRIVERS!$B$32:$B$42,MATCH(B9,DRIVERS!$A$32:$A$42,0))</f>
        <v>0.1</v>
      </c>
      <c r="Z9" s="5" t="n">
        <f aca="false">W9*(1+Y9)</f>
        <v>7101.85853278199</v>
      </c>
      <c r="AA9" s="5" t="n">
        <f aca="false">W9*(1+Y9+DRIVERS!$B$26)*(1+DRIVERS!$B$27)</f>
        <v>8315.63071838473</v>
      </c>
      <c r="AB9" s="2" t="s">
        <v>205</v>
      </c>
      <c r="AC9" s="8"/>
    </row>
    <row r="10" customFormat="false" ht="15" hidden="false" customHeight="false" outlineLevel="0" collapsed="false">
      <c r="A10" s="2" t="s">
        <v>209</v>
      </c>
      <c r="B10" s="2" t="s">
        <v>183</v>
      </c>
      <c r="C10" s="2" t="s">
        <v>90</v>
      </c>
      <c r="D10" s="2" t="s">
        <v>210</v>
      </c>
      <c r="E10" s="2" t="s">
        <v>211</v>
      </c>
      <c r="F10" s="2" t="s">
        <v>186</v>
      </c>
      <c r="G10" s="2" t="s">
        <v>186</v>
      </c>
      <c r="H10" s="5" t="n">
        <v>6150</v>
      </c>
      <c r="I10" s="6" t="n">
        <f aca="false">INDEX(SUPPLIERS!$D$3:$D$30,MATCH(C10,SUPPLIERS!$A$3:$A$30,0))</f>
        <v>0</v>
      </c>
      <c r="J10" s="5" t="n">
        <f aca="false">H10*(1-I10)</f>
        <v>6150</v>
      </c>
      <c r="K10" s="2" t="n">
        <v>625</v>
      </c>
      <c r="L10" s="2" t="s">
        <v>187</v>
      </c>
      <c r="M10" s="5" t="n">
        <f aca="false">IF(K10="","",J10/K10)</f>
        <v>9.84</v>
      </c>
      <c r="N10" s="2" t="n">
        <v>33.1</v>
      </c>
      <c r="O10" s="13" t="n">
        <v>0.08914</v>
      </c>
      <c r="P10" s="2" t="s">
        <v>204</v>
      </c>
      <c r="Q10" s="14" t="n">
        <f aca="false">MAX(N10/DRIVERS!$B$5,O10/DRIVERS!$B$6)</f>
        <v>0.0110333333333333</v>
      </c>
      <c r="R10" s="15" t="n">
        <f aca="false">ROUNDDOWN(1/Q10,0)</f>
        <v>90</v>
      </c>
      <c r="S10" s="5" t="n">
        <f aca="false">DRIVERS!$B$23*Q10/DRIVERS!$B$24</f>
        <v>57.2732149673796</v>
      </c>
      <c r="T10" s="5" t="n">
        <f aca="false">J10*INDEX(DRIVERS!$C$32:$C$42,MATCH(B10,DRIVERS!$A$32:$A$42,0))</f>
        <v>0</v>
      </c>
      <c r="U10" s="5" t="n">
        <f aca="false">J10*INDEX(SUPPLIERS!$E$3:$E$30,MATCH(C10,SUPPLIERS!$A$3:$A$30,0))</f>
        <v>0</v>
      </c>
      <c r="V10" s="5" t="n">
        <v>0</v>
      </c>
      <c r="W10" s="5" t="n">
        <f aca="false">J10+S10+T10+U10+V10</f>
        <v>6207.27321496738</v>
      </c>
      <c r="X10" s="9" t="n">
        <f aca="false">W10/J10-1</f>
        <v>0.00931271788087473</v>
      </c>
      <c r="Y10" s="6" t="n">
        <f aca="false">INDEX(DRIVERS!$B$32:$B$42,MATCH(B10,DRIVERS!$A$32:$A$42,0))</f>
        <v>0.1</v>
      </c>
      <c r="Z10" s="5" t="n">
        <f aca="false">W10*(1+Y10)</f>
        <v>6828.00053646412</v>
      </c>
      <c r="AA10" s="5" t="n">
        <f aca="false">W10*(1+Y10+DRIVERS!$B$26)*(1+DRIVERS!$B$27)</f>
        <v>7994.96790087799</v>
      </c>
      <c r="AB10" s="2" t="s">
        <v>205</v>
      </c>
      <c r="AC10" s="8"/>
    </row>
    <row r="11" customFormat="false" ht="15" hidden="false" customHeight="false" outlineLevel="0" collapsed="false">
      <c r="A11" s="2" t="s">
        <v>212</v>
      </c>
      <c r="B11" s="2" t="s">
        <v>183</v>
      </c>
      <c r="C11" s="2" t="s">
        <v>90</v>
      </c>
      <c r="D11" s="2" t="s">
        <v>213</v>
      </c>
      <c r="E11" s="2" t="s">
        <v>214</v>
      </c>
      <c r="F11" s="2" t="s">
        <v>186</v>
      </c>
      <c r="G11" s="2" t="s">
        <v>186</v>
      </c>
      <c r="H11" s="5" t="n">
        <v>6250</v>
      </c>
      <c r="I11" s="6" t="n">
        <f aca="false">INDEX(SUPPLIERS!$D$3:$D$30,MATCH(C11,SUPPLIERS!$A$3:$A$30,0))</f>
        <v>0</v>
      </c>
      <c r="J11" s="5" t="n">
        <f aca="false">H11*(1-I11)</f>
        <v>6250</v>
      </c>
      <c r="K11" s="2" t="n">
        <v>630</v>
      </c>
      <c r="L11" s="2" t="s">
        <v>187</v>
      </c>
      <c r="M11" s="5" t="n">
        <f aca="false">IF(K11="","",J11/K11)</f>
        <v>9.92063492063492</v>
      </c>
      <c r="N11" s="2" t="n">
        <v>33.1</v>
      </c>
      <c r="O11" s="13" t="n">
        <v>0.08914</v>
      </c>
      <c r="P11" s="2" t="s">
        <v>204</v>
      </c>
      <c r="Q11" s="14" t="n">
        <f aca="false">MAX(N11/DRIVERS!$B$5,O11/DRIVERS!$B$6)</f>
        <v>0.0110333333333333</v>
      </c>
      <c r="R11" s="15" t="n">
        <f aca="false">ROUNDDOWN(1/Q11,0)</f>
        <v>90</v>
      </c>
      <c r="S11" s="5" t="n">
        <f aca="false">DRIVERS!$B$23*Q11/DRIVERS!$B$24</f>
        <v>57.2732149673796</v>
      </c>
      <c r="T11" s="5" t="n">
        <f aca="false">J11*INDEX(DRIVERS!$C$32:$C$42,MATCH(B11,DRIVERS!$A$32:$A$42,0))</f>
        <v>0</v>
      </c>
      <c r="U11" s="5" t="n">
        <f aca="false">J11*INDEX(SUPPLIERS!$E$3:$E$30,MATCH(C11,SUPPLIERS!$A$3:$A$30,0))</f>
        <v>0</v>
      </c>
      <c r="V11" s="5" t="n">
        <v>0</v>
      </c>
      <c r="W11" s="5" t="n">
        <f aca="false">J11+S11+T11+U11+V11</f>
        <v>6307.27321496738</v>
      </c>
      <c r="X11" s="9" t="n">
        <f aca="false">W11/J11-1</f>
        <v>0.0091637143947807</v>
      </c>
      <c r="Y11" s="6" t="n">
        <f aca="false">INDEX(DRIVERS!$B$32:$B$42,MATCH(B11,DRIVERS!$A$32:$A$42,0))</f>
        <v>0.1</v>
      </c>
      <c r="Z11" s="5" t="n">
        <f aca="false">W11*(1+Y11)</f>
        <v>6938.00053646412</v>
      </c>
      <c r="AA11" s="5" t="n">
        <f aca="false">W11*(1+Y11+DRIVERS!$B$26)*(1+DRIVERS!$B$27)</f>
        <v>8123.76790087799</v>
      </c>
      <c r="AB11" s="2" t="s">
        <v>205</v>
      </c>
      <c r="AC11" s="8"/>
    </row>
    <row r="12" customFormat="false" ht="15" hidden="false" customHeight="false" outlineLevel="0" collapsed="false">
      <c r="A12" s="2" t="s">
        <v>215</v>
      </c>
      <c r="B12" s="2" t="s">
        <v>183</v>
      </c>
      <c r="C12" s="2" t="s">
        <v>92</v>
      </c>
      <c r="D12" s="2" t="s">
        <v>216</v>
      </c>
      <c r="E12" s="2" t="s">
        <v>217</v>
      </c>
      <c r="F12" s="2" t="s">
        <v>186</v>
      </c>
      <c r="G12" s="2" t="s">
        <v>186</v>
      </c>
      <c r="H12" s="5" t="n">
        <v>3000</v>
      </c>
      <c r="I12" s="6" t="n">
        <f aca="false">INDEX(SUPPLIERS!$D$3:$D$30,MATCH(C12,SUPPLIERS!$A$3:$A$30,0))</f>
        <v>0</v>
      </c>
      <c r="J12" s="5" t="n">
        <f aca="false">H12*(1-I12)</f>
        <v>3000</v>
      </c>
      <c r="K12" s="2" t="n">
        <v>200</v>
      </c>
      <c r="L12" s="2" t="s">
        <v>187</v>
      </c>
      <c r="M12" s="5" t="n">
        <f aca="false">IF(K12="","",J12/K12)</f>
        <v>15</v>
      </c>
      <c r="N12" s="2" t="n">
        <v>14</v>
      </c>
      <c r="O12" s="13" t="n">
        <v>0.04884</v>
      </c>
      <c r="P12" s="2" t="s">
        <v>204</v>
      </c>
      <c r="Q12" s="14" t="n">
        <f aca="false">MAX(N12/DRIVERS!$B$5,O12/DRIVERS!$B$6)</f>
        <v>0.00466666666666667</v>
      </c>
      <c r="R12" s="15" t="n">
        <f aca="false">ROUNDDOWN(1/Q12,0)</f>
        <v>214</v>
      </c>
      <c r="S12" s="5" t="n">
        <f aca="false">DRIVERS!$B$23*Q12/DRIVERS!$B$24</f>
        <v>24.2243205300095</v>
      </c>
      <c r="T12" s="5" t="n">
        <f aca="false">J12*INDEX(DRIVERS!$C$32:$C$42,MATCH(B12,DRIVERS!$A$32:$A$42,0))</f>
        <v>0</v>
      </c>
      <c r="U12" s="5" t="n">
        <f aca="false">J12*INDEX(SUPPLIERS!$E$3:$E$30,MATCH(C12,SUPPLIERS!$A$3:$A$30,0))</f>
        <v>0</v>
      </c>
      <c r="V12" s="5" t="n">
        <v>0</v>
      </c>
      <c r="W12" s="5" t="n">
        <f aca="false">J12+S12+T12+U12+V12</f>
        <v>3024.22432053001</v>
      </c>
      <c r="X12" s="9" t="n">
        <f aca="false">W12/J12-1</f>
        <v>0.0080747735100033</v>
      </c>
      <c r="Y12" s="6" t="n">
        <f aca="false">INDEX(DRIVERS!$B$32:$B$42,MATCH(B12,DRIVERS!$A$32:$A$42,0))</f>
        <v>0.1</v>
      </c>
      <c r="Z12" s="5" t="n">
        <f aca="false">W12*(1+Y12)</f>
        <v>3326.64675258301</v>
      </c>
      <c r="AA12" s="5" t="n">
        <f aca="false">W12*(1+Y12+DRIVERS!$B$26)*(1+DRIVERS!$B$27)</f>
        <v>3895.20092484265</v>
      </c>
      <c r="AB12" s="2" t="s">
        <v>218</v>
      </c>
      <c r="AC12" s="8"/>
    </row>
    <row r="13" customFormat="false" ht="15" hidden="false" customHeight="false" outlineLevel="0" collapsed="false">
      <c r="A13" s="2" t="s">
        <v>219</v>
      </c>
      <c r="B13" s="2" t="s">
        <v>183</v>
      </c>
      <c r="C13" s="2" t="s">
        <v>92</v>
      </c>
      <c r="D13" s="2" t="s">
        <v>220</v>
      </c>
      <c r="E13" s="2" t="s">
        <v>221</v>
      </c>
      <c r="F13" s="2" t="s">
        <v>186</v>
      </c>
      <c r="G13" s="2" t="s">
        <v>186</v>
      </c>
      <c r="H13" s="5" t="n">
        <v>2500</v>
      </c>
      <c r="I13" s="6" t="n">
        <f aca="false">INDEX(SUPPLIERS!$D$3:$D$30,MATCH(C13,SUPPLIERS!$A$3:$A$30,0))</f>
        <v>0</v>
      </c>
      <c r="J13" s="5" t="n">
        <f aca="false">H13*(1-I13)</f>
        <v>2500</v>
      </c>
      <c r="K13" s="2" t="n">
        <v>150</v>
      </c>
      <c r="L13" s="2" t="s">
        <v>187</v>
      </c>
      <c r="M13" s="5" t="n">
        <f aca="false">IF(K13="","",J13/K13)</f>
        <v>16.6666666666667</v>
      </c>
      <c r="N13" s="2" t="n">
        <v>9.5</v>
      </c>
      <c r="O13" s="13" t="n">
        <v>0.02638</v>
      </c>
      <c r="P13" s="2" t="s">
        <v>204</v>
      </c>
      <c r="Q13" s="14" t="n">
        <f aca="false">MAX(N13/DRIVERS!$B$5,O13/DRIVERS!$B$6)</f>
        <v>0.00316666666666667</v>
      </c>
      <c r="R13" s="15" t="n">
        <f aca="false">ROUNDDOWN(1/Q13,0)</f>
        <v>315</v>
      </c>
      <c r="S13" s="5" t="n">
        <f aca="false">DRIVERS!$B$23*Q13/DRIVERS!$B$24</f>
        <v>16.4379317882207</v>
      </c>
      <c r="T13" s="5" t="n">
        <f aca="false">J13*INDEX(DRIVERS!$C$32:$C$42,MATCH(B13,DRIVERS!$A$32:$A$42,0))</f>
        <v>0</v>
      </c>
      <c r="U13" s="5" t="n">
        <f aca="false">J13*INDEX(SUPPLIERS!$E$3:$E$30,MATCH(C13,SUPPLIERS!$A$3:$A$30,0))</f>
        <v>0</v>
      </c>
      <c r="V13" s="5" t="n">
        <v>0</v>
      </c>
      <c r="W13" s="5" t="n">
        <f aca="false">J13+S13+T13+U13+V13</f>
        <v>2516.43793178822</v>
      </c>
      <c r="X13" s="9" t="n">
        <f aca="false">W13/J13-1</f>
        <v>0.00657517271528829</v>
      </c>
      <c r="Y13" s="6" t="n">
        <f aca="false">INDEX(DRIVERS!$B$32:$B$42,MATCH(B13,DRIVERS!$A$32:$A$42,0))</f>
        <v>0.1</v>
      </c>
      <c r="Z13" s="5" t="n">
        <f aca="false">W13*(1+Y13)</f>
        <v>2768.08172496704</v>
      </c>
      <c r="AA13" s="5" t="n">
        <f aca="false">W13*(1+Y13+DRIVERS!$B$26)*(1+DRIVERS!$B$27)</f>
        <v>3241.17205614323</v>
      </c>
      <c r="AB13" s="2" t="s">
        <v>218</v>
      </c>
      <c r="AC13" s="8"/>
    </row>
    <row r="14" customFormat="false" ht="15" hidden="false" customHeight="false" outlineLevel="0" collapsed="false">
      <c r="A14" s="2" t="s">
        <v>222</v>
      </c>
      <c r="B14" s="2" t="s">
        <v>183</v>
      </c>
      <c r="C14" s="2" t="s">
        <v>92</v>
      </c>
      <c r="D14" s="2" t="s">
        <v>223</v>
      </c>
      <c r="E14" s="2" t="s">
        <v>224</v>
      </c>
      <c r="F14" s="2" t="s">
        <v>186</v>
      </c>
      <c r="G14" s="2" t="s">
        <v>186</v>
      </c>
      <c r="H14" s="5" t="n">
        <v>2000</v>
      </c>
      <c r="I14" s="6" t="n">
        <f aca="false">INDEX(SUPPLIERS!$D$3:$D$30,MATCH(C14,SUPPLIERS!$A$3:$A$30,0))</f>
        <v>0</v>
      </c>
      <c r="J14" s="5" t="n">
        <f aca="false">H14*(1-I14)</f>
        <v>2000</v>
      </c>
      <c r="K14" s="2" t="n">
        <v>100</v>
      </c>
      <c r="L14" s="2" t="s">
        <v>187</v>
      </c>
      <c r="M14" s="5" t="n">
        <f aca="false">IF(K14="","",J14/K14)</f>
        <v>20</v>
      </c>
      <c r="N14" s="2" t="n">
        <v>7.8</v>
      </c>
      <c r="O14" s="13" t="n">
        <v>0.01806</v>
      </c>
      <c r="P14" s="2" t="s">
        <v>204</v>
      </c>
      <c r="Q14" s="14" t="n">
        <f aca="false">MAX(N14/DRIVERS!$B$5,O14/DRIVERS!$B$6)</f>
        <v>0.0026</v>
      </c>
      <c r="R14" s="15" t="n">
        <f aca="false">ROUNDDOWN(1/Q14,0)</f>
        <v>384</v>
      </c>
      <c r="S14" s="5" t="n">
        <f aca="false">DRIVERS!$B$23*Q14/DRIVERS!$B$24</f>
        <v>13.4964071524339</v>
      </c>
      <c r="T14" s="5" t="n">
        <f aca="false">J14*INDEX(DRIVERS!$C$32:$C$42,MATCH(B14,DRIVERS!$A$32:$A$42,0))</f>
        <v>0</v>
      </c>
      <c r="U14" s="5" t="n">
        <f aca="false">J14*INDEX(SUPPLIERS!$E$3:$E$30,MATCH(C14,SUPPLIERS!$A$3:$A$30,0))</f>
        <v>0</v>
      </c>
      <c r="V14" s="5" t="n">
        <v>0</v>
      </c>
      <c r="W14" s="5" t="n">
        <f aca="false">J14+S14+T14+U14+V14</f>
        <v>2013.49640715243</v>
      </c>
      <c r="X14" s="9" t="n">
        <f aca="false">W14/J14-1</f>
        <v>0.00674820357621697</v>
      </c>
      <c r="Y14" s="6" t="n">
        <f aca="false">INDEX(DRIVERS!$B$32:$B$42,MATCH(B14,DRIVERS!$A$32:$A$42,0))</f>
        <v>0.1</v>
      </c>
      <c r="Z14" s="5" t="n">
        <f aca="false">W14*(1+Y14)</f>
        <v>2214.84604786768</v>
      </c>
      <c r="AA14" s="5" t="n">
        <f aca="false">W14*(1+Y14+DRIVERS!$B$26)*(1+DRIVERS!$B$27)</f>
        <v>2593.38337241234</v>
      </c>
      <c r="AB14" s="2" t="s">
        <v>218</v>
      </c>
      <c r="AC14" s="8"/>
    </row>
    <row r="15" customFormat="false" ht="15" hidden="false" customHeight="false" outlineLevel="0" collapsed="false">
      <c r="A15" s="2" t="s">
        <v>225</v>
      </c>
      <c r="B15" s="2" t="s">
        <v>183</v>
      </c>
      <c r="C15" s="2" t="s">
        <v>92</v>
      </c>
      <c r="D15" s="2" t="s">
        <v>226</v>
      </c>
      <c r="E15" s="2" t="s">
        <v>227</v>
      </c>
      <c r="F15" s="2" t="s">
        <v>186</v>
      </c>
      <c r="G15" s="2" t="s">
        <v>186</v>
      </c>
      <c r="H15" s="5" t="n">
        <v>5900</v>
      </c>
      <c r="I15" s="6" t="n">
        <f aca="false">INDEX(SUPPLIERS!$D$3:$D$30,MATCH(C15,SUPPLIERS!$A$3:$A$30,0))</f>
        <v>0</v>
      </c>
      <c r="J15" s="5" t="n">
        <f aca="false">H15*(1-I15)</f>
        <v>5900</v>
      </c>
      <c r="K15" s="2" t="n">
        <v>620</v>
      </c>
      <c r="L15" s="2" t="s">
        <v>187</v>
      </c>
      <c r="M15" s="5" t="n">
        <f aca="false">IF(K15="","",J15/K15)</f>
        <v>9.51612903225806</v>
      </c>
      <c r="N15" s="2" t="n">
        <v>27.9</v>
      </c>
      <c r="O15" s="13" t="n">
        <v>0.08914</v>
      </c>
      <c r="P15" s="2" t="s">
        <v>204</v>
      </c>
      <c r="Q15" s="14" t="n">
        <f aca="false">MAX(N15/DRIVERS!$B$5,O15/DRIVERS!$B$6)</f>
        <v>0.0093</v>
      </c>
      <c r="R15" s="15" t="n">
        <f aca="false">ROUNDDOWN(1/Q15,0)</f>
        <v>107</v>
      </c>
      <c r="S15" s="5" t="n">
        <f aca="false">DRIVERS!$B$23*Q15/DRIVERS!$B$24</f>
        <v>48.2756101990904</v>
      </c>
      <c r="T15" s="5" t="n">
        <f aca="false">J15*INDEX(DRIVERS!$C$32:$C$42,MATCH(B15,DRIVERS!$A$32:$A$42,0))</f>
        <v>0</v>
      </c>
      <c r="U15" s="5" t="n">
        <f aca="false">J15*INDEX(SUPPLIERS!$E$3:$E$30,MATCH(C15,SUPPLIERS!$A$3:$A$30,0))</f>
        <v>0</v>
      </c>
      <c r="V15" s="5" t="n">
        <v>0</v>
      </c>
      <c r="W15" s="5" t="n">
        <f aca="false">J15+S15+T15+U15+V15</f>
        <v>5948.27561019909</v>
      </c>
      <c r="X15" s="9" t="n">
        <f aca="false">W15/J15-1</f>
        <v>0.00818230681340526</v>
      </c>
      <c r="Y15" s="6" t="n">
        <f aca="false">INDEX(DRIVERS!$B$32:$B$42,MATCH(B15,DRIVERS!$A$32:$A$42,0))</f>
        <v>0.1</v>
      </c>
      <c r="Z15" s="5" t="n">
        <f aca="false">W15*(1+Y15)</f>
        <v>6543.103171219</v>
      </c>
      <c r="AA15" s="5" t="n">
        <f aca="false">W15*(1+Y15+DRIVERS!$B$26)*(1+DRIVERS!$B$27)</f>
        <v>7661.37898593643</v>
      </c>
      <c r="AB15" s="2" t="s">
        <v>218</v>
      </c>
      <c r="AC15" s="8"/>
    </row>
    <row r="16" customFormat="false" ht="15" hidden="false" customHeight="false" outlineLevel="0" collapsed="false">
      <c r="A16" s="2" t="s">
        <v>228</v>
      </c>
      <c r="B16" s="2" t="s">
        <v>183</v>
      </c>
      <c r="C16" s="2" t="s">
        <v>92</v>
      </c>
      <c r="D16" s="2" t="s">
        <v>229</v>
      </c>
      <c r="E16" s="2" t="s">
        <v>230</v>
      </c>
      <c r="F16" s="2" t="s">
        <v>186</v>
      </c>
      <c r="G16" s="2" t="s">
        <v>186</v>
      </c>
      <c r="H16" s="5" t="n">
        <v>6000</v>
      </c>
      <c r="I16" s="6" t="n">
        <f aca="false">INDEX(SUPPLIERS!$D$3:$D$30,MATCH(C16,SUPPLIERS!$A$3:$A$30,0))</f>
        <v>0</v>
      </c>
      <c r="J16" s="5" t="n">
        <f aca="false">H16*(1-I16)</f>
        <v>6000</v>
      </c>
      <c r="K16" s="2" t="n">
        <v>630</v>
      </c>
      <c r="L16" s="2" t="s">
        <v>187</v>
      </c>
      <c r="M16" s="5" t="n">
        <f aca="false">IF(K16="","",J16/K16)</f>
        <v>9.52380952380952</v>
      </c>
      <c r="N16" s="2" t="n">
        <v>27.9</v>
      </c>
      <c r="O16" s="13" t="n">
        <v>0.08914</v>
      </c>
      <c r="P16" s="2" t="s">
        <v>204</v>
      </c>
      <c r="Q16" s="14" t="n">
        <f aca="false">MAX(N16/DRIVERS!$B$5,O16/DRIVERS!$B$6)</f>
        <v>0.0093</v>
      </c>
      <c r="R16" s="15" t="n">
        <f aca="false">ROUNDDOWN(1/Q16,0)</f>
        <v>107</v>
      </c>
      <c r="S16" s="5" t="n">
        <f aca="false">DRIVERS!$B$23*Q16/DRIVERS!$B$24</f>
        <v>48.2756101990904</v>
      </c>
      <c r="T16" s="5" t="n">
        <f aca="false">J16*INDEX(DRIVERS!$C$32:$C$42,MATCH(B16,DRIVERS!$A$32:$A$42,0))</f>
        <v>0</v>
      </c>
      <c r="U16" s="5" t="n">
        <f aca="false">J16*INDEX(SUPPLIERS!$E$3:$E$30,MATCH(C16,SUPPLIERS!$A$3:$A$30,0))</f>
        <v>0</v>
      </c>
      <c r="V16" s="5" t="n">
        <v>0</v>
      </c>
      <c r="W16" s="5" t="n">
        <f aca="false">J16+S16+T16+U16+V16</f>
        <v>6048.27561019909</v>
      </c>
      <c r="X16" s="9" t="n">
        <f aca="false">W16/J16-1</f>
        <v>0.00804593503318185</v>
      </c>
      <c r="Y16" s="6" t="n">
        <f aca="false">INDEX(DRIVERS!$B$32:$B$42,MATCH(B16,DRIVERS!$A$32:$A$42,0))</f>
        <v>0.1</v>
      </c>
      <c r="Z16" s="5" t="n">
        <f aca="false">W16*(1+Y16)</f>
        <v>6653.103171219</v>
      </c>
      <c r="AA16" s="5" t="n">
        <f aca="false">W16*(1+Y16+DRIVERS!$B$26)*(1+DRIVERS!$B$27)</f>
        <v>7790.17898593643</v>
      </c>
      <c r="AB16" s="2" t="s">
        <v>218</v>
      </c>
      <c r="AC16" s="8"/>
    </row>
    <row r="17" customFormat="false" ht="15" hidden="false" customHeight="false" outlineLevel="0" collapsed="false">
      <c r="A17" s="2" t="s">
        <v>231</v>
      </c>
      <c r="B17" s="2" t="s">
        <v>183</v>
      </c>
      <c r="C17" s="2" t="s">
        <v>92</v>
      </c>
      <c r="D17" s="2" t="s">
        <v>232</v>
      </c>
      <c r="E17" s="2" t="s">
        <v>233</v>
      </c>
      <c r="F17" s="2" t="s">
        <v>186</v>
      </c>
      <c r="G17" s="2" t="s">
        <v>186</v>
      </c>
      <c r="H17" s="5" t="n">
        <v>6600</v>
      </c>
      <c r="I17" s="6" t="n">
        <f aca="false">INDEX(SUPPLIERS!$D$3:$D$30,MATCH(C17,SUPPLIERS!$A$3:$A$30,0))</f>
        <v>0</v>
      </c>
      <c r="J17" s="5" t="n">
        <f aca="false">H17*(1-I17)</f>
        <v>6600</v>
      </c>
      <c r="K17" s="2" t="n">
        <v>665</v>
      </c>
      <c r="L17" s="2" t="s">
        <v>187</v>
      </c>
      <c r="M17" s="5" t="n">
        <f aca="false">IF(K17="","",J17/K17)</f>
        <v>9.92481203007519</v>
      </c>
      <c r="N17" s="2" t="n">
        <v>32.5</v>
      </c>
      <c r="O17" s="13" t="n">
        <v>0.08914</v>
      </c>
      <c r="P17" s="2" t="s">
        <v>204</v>
      </c>
      <c r="Q17" s="14" t="n">
        <f aca="false">MAX(N17/DRIVERS!$B$5,O17/DRIVERS!$B$6)</f>
        <v>0.0108333333333333</v>
      </c>
      <c r="R17" s="15" t="n">
        <f aca="false">ROUNDDOWN(1/Q17,0)</f>
        <v>92</v>
      </c>
      <c r="S17" s="5" t="n">
        <f aca="false">DRIVERS!$B$23*Q17/DRIVERS!$B$24</f>
        <v>56.2350298018078</v>
      </c>
      <c r="T17" s="5" t="n">
        <f aca="false">J17*INDEX(DRIVERS!$C$32:$C$42,MATCH(B17,DRIVERS!$A$32:$A$42,0))</f>
        <v>0</v>
      </c>
      <c r="U17" s="5" t="n">
        <f aca="false">J17*INDEX(SUPPLIERS!$E$3:$E$30,MATCH(C17,SUPPLIERS!$A$3:$A$30,0))</f>
        <v>0</v>
      </c>
      <c r="V17" s="5" t="n">
        <v>0</v>
      </c>
      <c r="W17" s="5" t="n">
        <f aca="false">J17+S17+T17+U17+V17</f>
        <v>6656.23502980181</v>
      </c>
      <c r="X17" s="9" t="n">
        <f aca="false">W17/J17-1</f>
        <v>0.00852045906088006</v>
      </c>
      <c r="Y17" s="6" t="n">
        <f aca="false">INDEX(DRIVERS!$B$32:$B$42,MATCH(B17,DRIVERS!$A$32:$A$42,0))</f>
        <v>0.1</v>
      </c>
      <c r="Z17" s="5" t="n">
        <f aca="false">W17*(1+Y17)</f>
        <v>7321.85853278199</v>
      </c>
      <c r="AA17" s="5" t="n">
        <f aca="false">W17*(1+Y17+DRIVERS!$B$26)*(1+DRIVERS!$B$27)</f>
        <v>8573.23071838473</v>
      </c>
      <c r="AB17" s="2" t="s">
        <v>218</v>
      </c>
      <c r="AC17" s="8"/>
    </row>
    <row r="18" customFormat="false" ht="15" hidden="false" customHeight="false" outlineLevel="0" collapsed="false">
      <c r="A18" s="2" t="s">
        <v>234</v>
      </c>
      <c r="B18" s="2" t="s">
        <v>235</v>
      </c>
      <c r="C18" s="2" t="s">
        <v>93</v>
      </c>
      <c r="D18" s="2" t="s">
        <v>236</v>
      </c>
      <c r="E18" s="2" t="s">
        <v>237</v>
      </c>
      <c r="F18" s="2" t="s">
        <v>186</v>
      </c>
      <c r="G18" s="2" t="s">
        <v>186</v>
      </c>
      <c r="H18" s="5" t="n">
        <v>12600</v>
      </c>
      <c r="I18" s="6" t="n">
        <f aca="false">INDEX(SUPPLIERS!$D$3:$D$30,MATCH(C18,SUPPLIERS!$A$3:$A$30,0))</f>
        <v>0</v>
      </c>
      <c r="J18" s="5" t="n">
        <f aca="false">H18*(1-I18)</f>
        <v>12600</v>
      </c>
      <c r="K18" s="2" t="n">
        <v>4</v>
      </c>
      <c r="L18" s="2" t="s">
        <v>238</v>
      </c>
      <c r="M18" s="5" t="n">
        <f aca="false">IF(K18="","",J18/K18)</f>
        <v>3150</v>
      </c>
      <c r="N18" s="2" t="n">
        <v>8</v>
      </c>
      <c r="O18" s="13" t="n">
        <v>0.045</v>
      </c>
      <c r="P18" s="2" t="s">
        <v>239</v>
      </c>
      <c r="Q18" s="14" t="n">
        <f aca="false">MAX(N18/DRIVERS!$B$5,O18/DRIVERS!$B$6)</f>
        <v>0.00315255346020171</v>
      </c>
      <c r="R18" s="15" t="n">
        <f aca="false">ROUNDDOWN(1/Q18,0)</f>
        <v>317</v>
      </c>
      <c r="S18" s="5" t="n">
        <f aca="false">DRIVERS!$B$23*Q18/DRIVERS!$B$24</f>
        <v>16.3646711802679</v>
      </c>
      <c r="T18" s="5" t="n">
        <f aca="false">J18*INDEX(DRIVERS!$C$32:$C$42,MATCH(B18,DRIVERS!$A$32:$A$42,0))</f>
        <v>0</v>
      </c>
      <c r="U18" s="5" t="n">
        <f aca="false">J18*INDEX(SUPPLIERS!$E$3:$E$30,MATCH(C18,SUPPLIERS!$A$3:$A$30,0))</f>
        <v>0</v>
      </c>
      <c r="V18" s="5" t="n">
        <v>0</v>
      </c>
      <c r="W18" s="5" t="n">
        <f aca="false">J18+S18+T18+U18+V18</f>
        <v>12616.3646711803</v>
      </c>
      <c r="X18" s="9" t="n">
        <f aca="false">W18/J18-1</f>
        <v>0.00129878342700551</v>
      </c>
      <c r="Y18" s="6" t="n">
        <f aca="false">INDEX(DRIVERS!$B$32:$B$42,MATCH(B18,DRIVERS!$A$32:$A$42,0))</f>
        <v>0.1</v>
      </c>
      <c r="Z18" s="5" t="n">
        <f aca="false">W18*(1+Y18)</f>
        <v>13878.0011382983</v>
      </c>
      <c r="AA18" s="5" t="n">
        <f aca="false">W18*(1+Y18+DRIVERS!$B$26)*(1+DRIVERS!$B$27)</f>
        <v>16249.8776964802</v>
      </c>
      <c r="AB18" s="2" t="s">
        <v>189</v>
      </c>
      <c r="AC18" s="5" t="n">
        <v>12600</v>
      </c>
      <c r="AD18" s="2" t="s">
        <v>240</v>
      </c>
    </row>
    <row r="19" customFormat="false" ht="15" hidden="false" customHeight="false" outlineLevel="0" collapsed="false">
      <c r="A19" s="2" t="s">
        <v>241</v>
      </c>
      <c r="B19" s="2" t="s">
        <v>235</v>
      </c>
      <c r="C19" s="2" t="s">
        <v>93</v>
      </c>
      <c r="D19" s="2" t="s">
        <v>242</v>
      </c>
      <c r="E19" s="2" t="s">
        <v>243</v>
      </c>
      <c r="F19" s="2" t="s">
        <v>186</v>
      </c>
      <c r="G19" s="2" t="s">
        <v>186</v>
      </c>
      <c r="H19" s="5" t="n">
        <v>16200</v>
      </c>
      <c r="I19" s="6" t="n">
        <f aca="false">INDEX(SUPPLIERS!$D$3:$D$30,MATCH(C19,SUPPLIERS!$A$3:$A$30,0))</f>
        <v>0</v>
      </c>
      <c r="J19" s="5" t="n">
        <f aca="false">H19*(1-I19)</f>
        <v>16200</v>
      </c>
      <c r="K19" s="2" t="n">
        <v>6</v>
      </c>
      <c r="L19" s="2" t="s">
        <v>238</v>
      </c>
      <c r="M19" s="5" t="n">
        <f aca="false">IF(K19="","",J19/K19)</f>
        <v>2700</v>
      </c>
      <c r="N19" s="2" t="n">
        <v>9</v>
      </c>
      <c r="O19" s="13" t="n">
        <v>0.048</v>
      </c>
      <c r="P19" s="2" t="s">
        <v>244</v>
      </c>
      <c r="Q19" s="14" t="n">
        <f aca="false">MAX(N19/DRIVERS!$B$5,O19/DRIVERS!$B$6)</f>
        <v>0.00336272369088182</v>
      </c>
      <c r="R19" s="15" t="n">
        <f aca="false">ROUNDDOWN(1/Q19,0)</f>
        <v>297</v>
      </c>
      <c r="S19" s="5" t="n">
        <f aca="false">DRIVERS!$B$23*Q19/DRIVERS!$B$24</f>
        <v>17.4556492589524</v>
      </c>
      <c r="T19" s="5" t="n">
        <f aca="false">J19*INDEX(DRIVERS!$C$32:$C$42,MATCH(B19,DRIVERS!$A$32:$A$42,0))</f>
        <v>0</v>
      </c>
      <c r="U19" s="5" t="n">
        <f aca="false">J19*INDEX(SUPPLIERS!$E$3:$E$30,MATCH(C19,SUPPLIERS!$A$3:$A$30,0))</f>
        <v>0</v>
      </c>
      <c r="V19" s="5" t="n">
        <v>0</v>
      </c>
      <c r="W19" s="5" t="n">
        <f aca="false">J19+S19+T19+U19+V19</f>
        <v>16217.455649259</v>
      </c>
      <c r="X19" s="9" t="n">
        <f aca="false">W19/J19-1</f>
        <v>0.00107750921351557</v>
      </c>
      <c r="Y19" s="6" t="n">
        <f aca="false">INDEX(DRIVERS!$B$32:$B$42,MATCH(B19,DRIVERS!$A$32:$A$42,0))</f>
        <v>0.1</v>
      </c>
      <c r="Z19" s="5" t="n">
        <f aca="false">W19*(1+Y19)</f>
        <v>17839.2012141849</v>
      </c>
      <c r="AA19" s="5" t="n">
        <f aca="false">W19*(1+Y19+DRIVERS!$B$26)*(1+DRIVERS!$B$27)</f>
        <v>20888.0828762455</v>
      </c>
      <c r="AB19" s="2" t="s">
        <v>189</v>
      </c>
      <c r="AC19" s="5" t="n">
        <v>16200</v>
      </c>
      <c r="AD19" s="2" t="s">
        <v>240</v>
      </c>
    </row>
    <row r="20" customFormat="false" ht="15" hidden="false" customHeight="false" outlineLevel="0" collapsed="false">
      <c r="A20" s="2" t="s">
        <v>245</v>
      </c>
      <c r="B20" s="2" t="s">
        <v>235</v>
      </c>
      <c r="C20" s="2" t="s">
        <v>93</v>
      </c>
      <c r="D20" s="2" t="s">
        <v>246</v>
      </c>
      <c r="E20" s="2" t="s">
        <v>247</v>
      </c>
      <c r="F20" s="2" t="s">
        <v>186</v>
      </c>
      <c r="G20" s="2" t="s">
        <v>186</v>
      </c>
      <c r="H20" s="5" t="n">
        <v>17400</v>
      </c>
      <c r="I20" s="6" t="n">
        <f aca="false">INDEX(SUPPLIERS!$D$3:$D$30,MATCH(C20,SUPPLIERS!$A$3:$A$30,0))</f>
        <v>0</v>
      </c>
      <c r="J20" s="5" t="n">
        <f aca="false">H20*(1-I20)</f>
        <v>17400</v>
      </c>
      <c r="K20" s="2" t="n">
        <v>6</v>
      </c>
      <c r="L20" s="2" t="s">
        <v>238</v>
      </c>
      <c r="M20" s="5" t="n">
        <f aca="false">IF(K20="","",J20/K20)</f>
        <v>2900</v>
      </c>
      <c r="N20" s="2" t="n">
        <v>9</v>
      </c>
      <c r="O20" s="13" t="n">
        <v>0.048</v>
      </c>
      <c r="P20" s="2" t="s">
        <v>248</v>
      </c>
      <c r="Q20" s="14" t="n">
        <f aca="false">MAX(N20/DRIVERS!$B$5,O20/DRIVERS!$B$6)</f>
        <v>0.00336272369088182</v>
      </c>
      <c r="R20" s="15" t="n">
        <f aca="false">ROUNDDOWN(1/Q20,0)</f>
        <v>297</v>
      </c>
      <c r="S20" s="5" t="n">
        <f aca="false">DRIVERS!$B$23*Q20/DRIVERS!$B$24</f>
        <v>17.4556492589524</v>
      </c>
      <c r="T20" s="5" t="n">
        <f aca="false">J20*INDEX(DRIVERS!$C$32:$C$42,MATCH(B20,DRIVERS!$A$32:$A$42,0))</f>
        <v>0</v>
      </c>
      <c r="U20" s="5" t="n">
        <f aca="false">J20*INDEX(SUPPLIERS!$E$3:$E$30,MATCH(C20,SUPPLIERS!$A$3:$A$30,0))</f>
        <v>0</v>
      </c>
      <c r="V20" s="5" t="n">
        <v>0</v>
      </c>
      <c r="W20" s="5" t="n">
        <f aca="false">J20+S20+T20+U20+V20</f>
        <v>17417.455649259</v>
      </c>
      <c r="X20" s="9" t="n">
        <f aca="false">W20/J20-1</f>
        <v>0.001003198233273</v>
      </c>
      <c r="Y20" s="6" t="n">
        <f aca="false">INDEX(DRIVERS!$B$32:$B$42,MATCH(B20,DRIVERS!$A$32:$A$42,0))</f>
        <v>0.1</v>
      </c>
      <c r="Z20" s="5" t="n">
        <f aca="false">W20*(1+Y20)</f>
        <v>19159.2012141848</v>
      </c>
      <c r="AA20" s="5" t="n">
        <f aca="false">W20*(1+Y20+DRIVERS!$B$26)*(1+DRIVERS!$B$27)</f>
        <v>22433.6828762455</v>
      </c>
      <c r="AB20" s="2" t="s">
        <v>189</v>
      </c>
      <c r="AC20" s="5" t="n">
        <v>17400</v>
      </c>
      <c r="AD20" s="2" t="s">
        <v>249</v>
      </c>
    </row>
    <row r="21" customFormat="false" ht="15" hidden="false" customHeight="false" outlineLevel="0" collapsed="false">
      <c r="A21" s="2" t="s">
        <v>250</v>
      </c>
      <c r="B21" s="2" t="s">
        <v>235</v>
      </c>
      <c r="C21" s="2" t="s">
        <v>93</v>
      </c>
      <c r="D21" s="2" t="s">
        <v>251</v>
      </c>
      <c r="E21" s="2" t="s">
        <v>252</v>
      </c>
      <c r="F21" s="2" t="s">
        <v>186</v>
      </c>
      <c r="G21" s="2" t="s">
        <v>186</v>
      </c>
      <c r="H21" s="5" t="n">
        <v>20500</v>
      </c>
      <c r="I21" s="6" t="n">
        <f aca="false">INDEX(SUPPLIERS!$D$3:$D$30,MATCH(C21,SUPPLIERS!$A$3:$A$30,0))</f>
        <v>0</v>
      </c>
      <c r="J21" s="5" t="n">
        <f aca="false">H21*(1-I21)</f>
        <v>20500</v>
      </c>
      <c r="K21" s="2" t="n">
        <v>6.5</v>
      </c>
      <c r="L21" s="2" t="s">
        <v>238</v>
      </c>
      <c r="M21" s="5" t="n">
        <f aca="false">IF(K21="","",J21/K21)</f>
        <v>3153.84615384615</v>
      </c>
      <c r="N21" s="2" t="n">
        <v>10</v>
      </c>
      <c r="O21" s="13" t="n">
        <v>0.05</v>
      </c>
      <c r="P21" s="2" t="s">
        <v>253</v>
      </c>
      <c r="Q21" s="14" t="n">
        <f aca="false">MAX(N21/DRIVERS!$B$5,O21/DRIVERS!$B$6)</f>
        <v>0.0035028371780019</v>
      </c>
      <c r="R21" s="15" t="n">
        <f aca="false">ROUNDDOWN(1/Q21,0)</f>
        <v>285</v>
      </c>
      <c r="S21" s="5" t="n">
        <f aca="false">DRIVERS!$B$23*Q21/DRIVERS!$B$24</f>
        <v>18.1829679780754</v>
      </c>
      <c r="T21" s="5" t="n">
        <f aca="false">J21*INDEX(DRIVERS!$C$32:$C$42,MATCH(B21,DRIVERS!$A$32:$A$42,0))</f>
        <v>0</v>
      </c>
      <c r="U21" s="5" t="n">
        <f aca="false">J21*INDEX(SUPPLIERS!$E$3:$E$30,MATCH(C21,SUPPLIERS!$A$3:$A$30,0))</f>
        <v>0</v>
      </c>
      <c r="V21" s="5" t="n">
        <v>0</v>
      </c>
      <c r="W21" s="5" t="n">
        <f aca="false">J21+S21+T21+U21+V21</f>
        <v>20518.1829679781</v>
      </c>
      <c r="X21" s="9" t="n">
        <f aca="false">W21/J21-1</f>
        <v>0.000886974047710876</v>
      </c>
      <c r="Y21" s="6" t="n">
        <f aca="false">INDEX(DRIVERS!$B$32:$B$42,MATCH(B21,DRIVERS!$A$32:$A$42,0))</f>
        <v>0.1</v>
      </c>
      <c r="Z21" s="5" t="n">
        <f aca="false">W21*(1+Y21)</f>
        <v>22570.0012647759</v>
      </c>
      <c r="AA21" s="5" t="n">
        <f aca="false">W21*(1+Y21+DRIVERS!$B$26)*(1+DRIVERS!$B$27)</f>
        <v>26427.4196627558</v>
      </c>
      <c r="AB21" s="2" t="s">
        <v>189</v>
      </c>
      <c r="AC21" s="5" t="n">
        <v>20500</v>
      </c>
      <c r="AD21" s="2" t="s">
        <v>240</v>
      </c>
    </row>
    <row r="22" customFormat="false" ht="15" hidden="false" customHeight="false" outlineLevel="0" collapsed="false">
      <c r="A22" s="2" t="s">
        <v>254</v>
      </c>
      <c r="B22" s="2" t="s">
        <v>235</v>
      </c>
      <c r="C22" s="2" t="s">
        <v>93</v>
      </c>
      <c r="D22" s="2" t="s">
        <v>255</v>
      </c>
      <c r="E22" s="2" t="s">
        <v>256</v>
      </c>
      <c r="F22" s="2" t="s">
        <v>186</v>
      </c>
      <c r="G22" s="2" t="s">
        <v>186</v>
      </c>
      <c r="H22" s="5" t="n">
        <v>22000</v>
      </c>
      <c r="I22" s="6" t="n">
        <f aca="false">INDEX(SUPPLIERS!$D$3:$D$30,MATCH(C22,SUPPLIERS!$A$3:$A$30,0))</f>
        <v>0</v>
      </c>
      <c r="J22" s="5" t="n">
        <f aca="false">H22*(1-I22)</f>
        <v>22000</v>
      </c>
      <c r="K22" s="2" t="n">
        <v>6.5</v>
      </c>
      <c r="L22" s="2" t="s">
        <v>238</v>
      </c>
      <c r="M22" s="5" t="n">
        <f aca="false">IF(K22="","",J22/K22)</f>
        <v>3384.61538461538</v>
      </c>
      <c r="N22" s="2" t="n">
        <v>10</v>
      </c>
      <c r="O22" s="13" t="n">
        <v>0.05</v>
      </c>
      <c r="P22" s="2" t="s">
        <v>239</v>
      </c>
      <c r="Q22" s="14" t="n">
        <f aca="false">MAX(N22/DRIVERS!$B$5,O22/DRIVERS!$B$6)</f>
        <v>0.0035028371780019</v>
      </c>
      <c r="R22" s="15" t="n">
        <f aca="false">ROUNDDOWN(1/Q22,0)</f>
        <v>285</v>
      </c>
      <c r="S22" s="5" t="n">
        <f aca="false">DRIVERS!$B$23*Q22/DRIVERS!$B$24</f>
        <v>18.1829679780754</v>
      </c>
      <c r="T22" s="5" t="n">
        <f aca="false">J22*INDEX(DRIVERS!$C$32:$C$42,MATCH(B22,DRIVERS!$A$32:$A$42,0))</f>
        <v>0</v>
      </c>
      <c r="U22" s="5" t="n">
        <f aca="false">J22*INDEX(SUPPLIERS!$E$3:$E$30,MATCH(C22,SUPPLIERS!$A$3:$A$30,0))</f>
        <v>0</v>
      </c>
      <c r="V22" s="5" t="n">
        <v>0</v>
      </c>
      <c r="W22" s="5" t="n">
        <f aca="false">J22+S22+T22+U22+V22</f>
        <v>22018.1829679781</v>
      </c>
      <c r="X22" s="9" t="n">
        <f aca="false">W22/J22-1</f>
        <v>0.000826498544457932</v>
      </c>
      <c r="Y22" s="6" t="n">
        <f aca="false">INDEX(DRIVERS!$B$32:$B$42,MATCH(B22,DRIVERS!$A$32:$A$42,0))</f>
        <v>0.1</v>
      </c>
      <c r="Z22" s="5" t="n">
        <f aca="false">W22*(1+Y22)</f>
        <v>24220.0012647759</v>
      </c>
      <c r="AA22" s="5" t="n">
        <f aca="false">W22*(1+Y22+DRIVERS!$B$26)*(1+DRIVERS!$B$27)</f>
        <v>28359.4196627558</v>
      </c>
      <c r="AB22" s="2" t="s">
        <v>189</v>
      </c>
      <c r="AC22" s="5" t="n">
        <v>22000</v>
      </c>
      <c r="AD22" s="2" t="s">
        <v>240</v>
      </c>
    </row>
    <row r="23" customFormat="false" ht="15" hidden="false" customHeight="false" outlineLevel="0" collapsed="false">
      <c r="A23" s="2" t="s">
        <v>257</v>
      </c>
      <c r="B23" s="2" t="s">
        <v>235</v>
      </c>
      <c r="C23" s="2" t="s">
        <v>93</v>
      </c>
      <c r="D23" s="2" t="s">
        <v>258</v>
      </c>
      <c r="E23" s="2" t="s">
        <v>259</v>
      </c>
      <c r="F23" s="2" t="s">
        <v>186</v>
      </c>
      <c r="G23" s="2" t="s">
        <v>186</v>
      </c>
      <c r="H23" s="5" t="n">
        <v>63500</v>
      </c>
      <c r="I23" s="6" t="n">
        <f aca="false">INDEX(SUPPLIERS!$D$3:$D$30,MATCH(C23,SUPPLIERS!$A$3:$A$30,0))</f>
        <v>0</v>
      </c>
      <c r="J23" s="5" t="n">
        <f aca="false">H23*(1-I23)</f>
        <v>63500</v>
      </c>
      <c r="K23" s="2" t="n">
        <v>8</v>
      </c>
      <c r="L23" s="2" t="s">
        <v>238</v>
      </c>
      <c r="M23" s="5" t="n">
        <f aca="false">IF(K23="","",J23/K23)</f>
        <v>7937.5</v>
      </c>
      <c r="N23" s="2" t="n">
        <v>35.6</v>
      </c>
      <c r="O23" s="13" t="n">
        <v>0.12</v>
      </c>
      <c r="P23" s="2" t="s">
        <v>260</v>
      </c>
      <c r="Q23" s="14" t="n">
        <f aca="false">MAX(N23/DRIVERS!$B$5,O23/DRIVERS!$B$6)</f>
        <v>0.0118666666666667</v>
      </c>
      <c r="R23" s="15" t="n">
        <f aca="false">ROUNDDOWN(1/Q23,0)</f>
        <v>84</v>
      </c>
      <c r="S23" s="5" t="n">
        <f aca="false">DRIVERS!$B$23*Q23/DRIVERS!$B$24</f>
        <v>61.5989864905956</v>
      </c>
      <c r="T23" s="5" t="n">
        <f aca="false">J23*INDEX(DRIVERS!$C$32:$C$42,MATCH(B23,DRIVERS!$A$32:$A$42,0))</f>
        <v>0</v>
      </c>
      <c r="U23" s="5" t="n">
        <f aca="false">J23*INDEX(SUPPLIERS!$E$3:$E$30,MATCH(C23,SUPPLIERS!$A$3:$A$30,0))</f>
        <v>0</v>
      </c>
      <c r="V23" s="5" t="n">
        <v>0</v>
      </c>
      <c r="W23" s="5" t="n">
        <f aca="false">J23+S23+T23+U23+V23</f>
        <v>63561.5989864906</v>
      </c>
      <c r="X23" s="9" t="n">
        <f aca="false">W23/J23-1</f>
        <v>0.000970062779379388</v>
      </c>
      <c r="Y23" s="6" t="n">
        <f aca="false">INDEX(DRIVERS!$B$32:$B$42,MATCH(B23,DRIVERS!$A$32:$A$42,0))</f>
        <v>0.1</v>
      </c>
      <c r="Z23" s="5" t="n">
        <f aca="false">W23*(1+Y23)</f>
        <v>69917.7588851397</v>
      </c>
      <c r="AA23" s="5" t="n">
        <f aca="false">W23*(1+Y23+DRIVERS!$B$26)*(1+DRIVERS!$B$27)</f>
        <v>81867.3394945999</v>
      </c>
      <c r="AB23" s="2" t="s">
        <v>189</v>
      </c>
      <c r="AC23" s="5" t="n">
        <v>65000</v>
      </c>
    </row>
    <row r="24" customFormat="false" ht="15" hidden="false" customHeight="false" outlineLevel="0" collapsed="false">
      <c r="A24" s="2" t="s">
        <v>261</v>
      </c>
      <c r="B24" s="2" t="s">
        <v>235</v>
      </c>
      <c r="C24" s="2" t="s">
        <v>93</v>
      </c>
      <c r="D24" s="2" t="s">
        <v>262</v>
      </c>
      <c r="E24" s="2" t="s">
        <v>263</v>
      </c>
      <c r="F24" s="2" t="s">
        <v>186</v>
      </c>
      <c r="G24" s="2" t="s">
        <v>186</v>
      </c>
      <c r="H24" s="5" t="n">
        <v>79000</v>
      </c>
      <c r="I24" s="6" t="n">
        <f aca="false">INDEX(SUPPLIERS!$D$3:$D$30,MATCH(C24,SUPPLIERS!$A$3:$A$30,0))</f>
        <v>0</v>
      </c>
      <c r="J24" s="5" t="n">
        <f aca="false">H24*(1-I24)</f>
        <v>79000</v>
      </c>
      <c r="K24" s="2" t="n">
        <v>10</v>
      </c>
      <c r="L24" s="2" t="s">
        <v>238</v>
      </c>
      <c r="M24" s="5" t="n">
        <f aca="false">IF(K24="","",J24/K24)</f>
        <v>7900</v>
      </c>
      <c r="N24" s="2" t="n">
        <v>35.6</v>
      </c>
      <c r="O24" s="13" t="n">
        <v>0.12</v>
      </c>
      <c r="P24" s="2" t="s">
        <v>248</v>
      </c>
      <c r="Q24" s="14" t="n">
        <f aca="false">MAX(N24/DRIVERS!$B$5,O24/DRIVERS!$B$6)</f>
        <v>0.0118666666666667</v>
      </c>
      <c r="R24" s="15" t="n">
        <f aca="false">ROUNDDOWN(1/Q24,0)</f>
        <v>84</v>
      </c>
      <c r="S24" s="5" t="n">
        <f aca="false">DRIVERS!$B$23*Q24/DRIVERS!$B$24</f>
        <v>61.5989864905956</v>
      </c>
      <c r="T24" s="5" t="n">
        <f aca="false">J24*INDEX(DRIVERS!$C$32:$C$42,MATCH(B24,DRIVERS!$A$32:$A$42,0))</f>
        <v>0</v>
      </c>
      <c r="U24" s="5" t="n">
        <f aca="false">J24*INDEX(SUPPLIERS!$E$3:$E$30,MATCH(C24,SUPPLIERS!$A$3:$A$30,0))</f>
        <v>0</v>
      </c>
      <c r="V24" s="5" t="n">
        <v>0</v>
      </c>
      <c r="W24" s="5" t="n">
        <f aca="false">J24+S24+T24+U24+V24</f>
        <v>79061.5989864906</v>
      </c>
      <c r="X24" s="9" t="n">
        <f aca="false">W24/J24-1</f>
        <v>0.00077973400621012</v>
      </c>
      <c r="Y24" s="6" t="n">
        <f aca="false">INDEX(DRIVERS!$B$32:$B$42,MATCH(B24,DRIVERS!$A$32:$A$42,0))</f>
        <v>0.1</v>
      </c>
      <c r="Z24" s="5" t="n">
        <f aca="false">W24*(1+Y24)</f>
        <v>86967.7588851397</v>
      </c>
      <c r="AA24" s="5" t="n">
        <f aca="false">W24*(1+Y24+DRIVERS!$B$26)*(1+DRIVERS!$B$27)</f>
        <v>101831.3394946</v>
      </c>
      <c r="AB24" s="2" t="s">
        <v>189</v>
      </c>
      <c r="AC24" s="5" t="n">
        <v>90000</v>
      </c>
      <c r="AD24" s="2" t="s">
        <v>264</v>
      </c>
    </row>
    <row r="25" customFormat="false" ht="15" hidden="false" customHeight="false" outlineLevel="0" collapsed="false">
      <c r="A25" s="2" t="s">
        <v>265</v>
      </c>
      <c r="B25" s="2" t="s">
        <v>235</v>
      </c>
      <c r="C25" s="2" t="s">
        <v>93</v>
      </c>
      <c r="D25" s="2" t="s">
        <v>266</v>
      </c>
      <c r="E25" s="2" t="s">
        <v>267</v>
      </c>
      <c r="F25" s="2" t="s">
        <v>186</v>
      </c>
      <c r="G25" s="2" t="s">
        <v>186</v>
      </c>
      <c r="H25" s="5" t="n">
        <v>89000</v>
      </c>
      <c r="I25" s="6" t="n">
        <f aca="false">INDEX(SUPPLIERS!$D$3:$D$30,MATCH(C25,SUPPLIERS!$A$3:$A$30,0))</f>
        <v>0</v>
      </c>
      <c r="J25" s="5" t="n">
        <f aca="false">H25*(1-I25)</f>
        <v>89000</v>
      </c>
      <c r="K25" s="2" t="n">
        <v>12</v>
      </c>
      <c r="L25" s="2" t="s">
        <v>238</v>
      </c>
      <c r="M25" s="5" t="n">
        <f aca="false">IF(K25="","",J25/K25)</f>
        <v>7416.66666666667</v>
      </c>
      <c r="N25" s="2" t="n">
        <v>35.6</v>
      </c>
      <c r="O25" s="13" t="n">
        <v>0.12</v>
      </c>
      <c r="P25" s="2" t="s">
        <v>248</v>
      </c>
      <c r="Q25" s="14" t="n">
        <f aca="false">MAX(N25/DRIVERS!$B$5,O25/DRIVERS!$B$6)</f>
        <v>0.0118666666666667</v>
      </c>
      <c r="R25" s="15" t="n">
        <f aca="false">ROUNDDOWN(1/Q25,0)</f>
        <v>84</v>
      </c>
      <c r="S25" s="5" t="n">
        <f aca="false">DRIVERS!$B$23*Q25/DRIVERS!$B$24</f>
        <v>61.5989864905956</v>
      </c>
      <c r="T25" s="5" t="n">
        <f aca="false">J25*INDEX(DRIVERS!$C$32:$C$42,MATCH(B25,DRIVERS!$A$32:$A$42,0))</f>
        <v>0</v>
      </c>
      <c r="U25" s="5" t="n">
        <f aca="false">J25*INDEX(SUPPLIERS!$E$3:$E$30,MATCH(C25,SUPPLIERS!$A$3:$A$30,0))</f>
        <v>0</v>
      </c>
      <c r="V25" s="5" t="n">
        <v>0</v>
      </c>
      <c r="W25" s="5" t="n">
        <f aca="false">J25+S25+T25+U25+V25</f>
        <v>89061.5989864906</v>
      </c>
      <c r="X25" s="9" t="n">
        <f aca="false">W25/J25-1</f>
        <v>0.000692123443714721</v>
      </c>
      <c r="Y25" s="6" t="n">
        <f aca="false">INDEX(DRIVERS!$B$32:$B$42,MATCH(B25,DRIVERS!$A$32:$A$42,0))</f>
        <v>0.1</v>
      </c>
      <c r="Z25" s="5" t="n">
        <f aca="false">W25*(1+Y25)</f>
        <v>97967.7588851397</v>
      </c>
      <c r="AA25" s="5" t="n">
        <f aca="false">W25*(1+Y25+DRIVERS!$B$26)*(1+DRIVERS!$B$27)</f>
        <v>114711.3394946</v>
      </c>
      <c r="AB25" s="2" t="s">
        <v>189</v>
      </c>
      <c r="AC25" s="5" t="n">
        <v>95000</v>
      </c>
      <c r="AD25" s="2" t="s">
        <v>268</v>
      </c>
    </row>
    <row r="26" customFormat="false" ht="15" hidden="false" customHeight="false" outlineLevel="0" collapsed="false">
      <c r="A26" s="2" t="s">
        <v>56</v>
      </c>
      <c r="B26" s="2" t="s">
        <v>235</v>
      </c>
      <c r="C26" s="2" t="s">
        <v>91</v>
      </c>
      <c r="D26" s="2" t="s">
        <v>269</v>
      </c>
      <c r="E26" s="2" t="s">
        <v>270</v>
      </c>
      <c r="F26" s="2" t="s">
        <v>186</v>
      </c>
      <c r="G26" s="2" t="s">
        <v>186</v>
      </c>
      <c r="H26" s="5" t="n">
        <v>43000</v>
      </c>
      <c r="I26" s="6" t="n">
        <f aca="false">INDEX(SUPPLIERS!$D$3:$D$30,MATCH(C26,SUPPLIERS!$A$3:$A$30,0))</f>
        <v>0</v>
      </c>
      <c r="J26" s="5" t="n">
        <f aca="false">H26*(1-I26)</f>
        <v>43000</v>
      </c>
      <c r="K26" s="2" t="n">
        <v>6</v>
      </c>
      <c r="L26" s="2" t="s">
        <v>238</v>
      </c>
      <c r="M26" s="5" t="n">
        <f aca="false">IF(K26="","",J26/K26)</f>
        <v>7166.66666666667</v>
      </c>
      <c r="N26" s="2" t="n">
        <v>24.5</v>
      </c>
      <c r="O26" s="13" t="n">
        <v>0.09448</v>
      </c>
      <c r="P26" s="2" t="s">
        <v>271</v>
      </c>
      <c r="Q26" s="14" t="n">
        <f aca="false">MAX(N26/DRIVERS!$B$5,O26/DRIVERS!$B$6)</f>
        <v>0.00816666666666667</v>
      </c>
      <c r="R26" s="15" t="n">
        <f aca="false">ROUNDDOWN(1/Q26,0)</f>
        <v>122</v>
      </c>
      <c r="S26" s="5" t="n">
        <f aca="false">DRIVERS!$B$23*Q26/DRIVERS!$B$24</f>
        <v>42.3925609275166</v>
      </c>
      <c r="T26" s="5" t="n">
        <f aca="false">J26*INDEX(DRIVERS!$C$32:$C$42,MATCH(B26,DRIVERS!$A$32:$A$42,0))</f>
        <v>0</v>
      </c>
      <c r="U26" s="5" t="n">
        <f aca="false">J26*INDEX(SUPPLIERS!$E$3:$E$30,MATCH(C26,SUPPLIERS!$A$3:$A$30,0))</f>
        <v>0</v>
      </c>
      <c r="V26" s="5" t="n">
        <v>0</v>
      </c>
      <c r="W26" s="5" t="n">
        <f aca="false">J26+S26+T26+U26+V26</f>
        <v>43042.3925609275</v>
      </c>
      <c r="X26" s="9" t="n">
        <f aca="false">W26/J26-1</f>
        <v>0.00098587350994217</v>
      </c>
      <c r="Y26" s="6" t="n">
        <f aca="false">INDEX(DRIVERS!$B$32:$B$42,MATCH(B26,DRIVERS!$A$32:$A$42,0))</f>
        <v>0.1</v>
      </c>
      <c r="Z26" s="5" t="n">
        <f aca="false">W26*(1+Y26)</f>
        <v>47346.6318170203</v>
      </c>
      <c r="AA26" s="5" t="n">
        <f aca="false">W26*(1+Y26+DRIVERS!$B$26)*(1+DRIVERS!$B$27)</f>
        <v>55438.6016184747</v>
      </c>
      <c r="AB26" s="2" t="s">
        <v>272</v>
      </c>
      <c r="AC26" s="8"/>
      <c r="AD26" s="2" t="s">
        <v>273</v>
      </c>
    </row>
    <row r="27" customFormat="false" ht="15" hidden="false" customHeight="false" outlineLevel="0" collapsed="false">
      <c r="A27" s="2" t="s">
        <v>274</v>
      </c>
      <c r="B27" s="2" t="s">
        <v>235</v>
      </c>
      <c r="C27" s="2" t="s">
        <v>91</v>
      </c>
      <c r="D27" s="2" t="s">
        <v>275</v>
      </c>
      <c r="E27" s="2" t="s">
        <v>276</v>
      </c>
      <c r="F27" s="2" t="s">
        <v>186</v>
      </c>
      <c r="G27" s="2" t="s">
        <v>186</v>
      </c>
      <c r="H27" s="5" t="n">
        <v>63000</v>
      </c>
      <c r="I27" s="6" t="n">
        <f aca="false">INDEX(SUPPLIERS!$D$3:$D$30,MATCH(C27,SUPPLIERS!$A$3:$A$30,0))</f>
        <v>0</v>
      </c>
      <c r="J27" s="5" t="n">
        <f aca="false">H27*(1-I27)</f>
        <v>63000</v>
      </c>
      <c r="K27" s="2" t="n">
        <v>8</v>
      </c>
      <c r="L27" s="2" t="s">
        <v>238</v>
      </c>
      <c r="M27" s="5" t="n">
        <f aca="false">IF(K27="","",J27/K27)</f>
        <v>7875</v>
      </c>
      <c r="N27" s="2" t="n">
        <v>40.5</v>
      </c>
      <c r="O27" s="13" t="n">
        <v>0.15412</v>
      </c>
      <c r="P27" s="2" t="s">
        <v>271</v>
      </c>
      <c r="Q27" s="14" t="n">
        <f aca="false">MAX(N27/DRIVERS!$B$5,O27/DRIVERS!$B$6)</f>
        <v>0.0135</v>
      </c>
      <c r="R27" s="15" t="n">
        <f aca="false">ROUNDDOWN(1/Q27,0)</f>
        <v>74</v>
      </c>
      <c r="S27" s="5" t="n">
        <f aca="false">DRIVERS!$B$23*Q27/DRIVERS!$B$24</f>
        <v>70.0774986760989</v>
      </c>
      <c r="T27" s="5" t="n">
        <f aca="false">J27*INDEX(DRIVERS!$C$32:$C$42,MATCH(B27,DRIVERS!$A$32:$A$42,0))</f>
        <v>0</v>
      </c>
      <c r="U27" s="5" t="n">
        <f aca="false">J27*INDEX(SUPPLIERS!$E$3:$E$30,MATCH(C27,SUPPLIERS!$A$3:$A$30,0))</f>
        <v>0</v>
      </c>
      <c r="V27" s="5" t="n">
        <v>0</v>
      </c>
      <c r="W27" s="5" t="n">
        <f aca="false">J27+S27+T27+U27+V27</f>
        <v>63070.0774986761</v>
      </c>
      <c r="X27" s="9" t="n">
        <f aca="false">W27/J27-1</f>
        <v>0.00111234124882698</v>
      </c>
      <c r="Y27" s="6" t="n">
        <f aca="false">INDEX(DRIVERS!$B$32:$B$42,MATCH(B27,DRIVERS!$A$32:$A$42,0))</f>
        <v>0.1</v>
      </c>
      <c r="Z27" s="5" t="n">
        <f aca="false">W27*(1+Y27)</f>
        <v>69377.0852485437</v>
      </c>
      <c r="AA27" s="5" t="n">
        <f aca="false">W27*(1+Y27+DRIVERS!$B$26)*(1+DRIVERS!$B$27)</f>
        <v>81234.2598182948</v>
      </c>
      <c r="AB27" s="2" t="s">
        <v>272</v>
      </c>
      <c r="AC27" s="8"/>
      <c r="AD27" s="2" t="s">
        <v>277</v>
      </c>
    </row>
    <row r="28" customFormat="false" ht="15" hidden="false" customHeight="false" outlineLevel="0" collapsed="false">
      <c r="A28" s="2" t="s">
        <v>278</v>
      </c>
      <c r="B28" s="2" t="s">
        <v>235</v>
      </c>
      <c r="C28" s="2" t="s">
        <v>91</v>
      </c>
      <c r="D28" s="2" t="s">
        <v>279</v>
      </c>
      <c r="E28" s="2" t="s">
        <v>280</v>
      </c>
      <c r="F28" s="2" t="s">
        <v>186</v>
      </c>
      <c r="G28" s="2" t="s">
        <v>186</v>
      </c>
      <c r="H28" s="5" t="n">
        <v>102000</v>
      </c>
      <c r="I28" s="6" t="n">
        <f aca="false">INDEX(SUPPLIERS!$D$3:$D$30,MATCH(C28,SUPPLIERS!$A$3:$A$30,0))</f>
        <v>0</v>
      </c>
      <c r="J28" s="5" t="n">
        <f aca="false">H28*(1-I28)</f>
        <v>102000</v>
      </c>
      <c r="K28" s="2" t="n">
        <v>12</v>
      </c>
      <c r="L28" s="2" t="s">
        <v>238</v>
      </c>
      <c r="M28" s="5" t="n">
        <f aca="false">IF(K28="","",J28/K28)</f>
        <v>8500</v>
      </c>
      <c r="N28" s="2" t="n">
        <v>40.5</v>
      </c>
      <c r="O28" s="13" t="n">
        <v>0.154</v>
      </c>
      <c r="P28" s="2" t="s">
        <v>281</v>
      </c>
      <c r="Q28" s="14" t="n">
        <f aca="false">MAX(N28/DRIVERS!$B$5,O28/DRIVERS!$B$6)</f>
        <v>0.0135</v>
      </c>
      <c r="R28" s="15" t="n">
        <f aca="false">ROUNDDOWN(1/Q28,0)</f>
        <v>74</v>
      </c>
      <c r="S28" s="5" t="n">
        <f aca="false">DRIVERS!$B$23*Q28/DRIVERS!$B$24</f>
        <v>70.0774986760989</v>
      </c>
      <c r="T28" s="5" t="n">
        <f aca="false">J28*INDEX(DRIVERS!$C$32:$C$42,MATCH(B28,DRIVERS!$A$32:$A$42,0))</f>
        <v>0</v>
      </c>
      <c r="U28" s="5" t="n">
        <f aca="false">J28*INDEX(SUPPLIERS!$E$3:$E$30,MATCH(C28,SUPPLIERS!$A$3:$A$30,0))</f>
        <v>0</v>
      </c>
      <c r="V28" s="5" t="n">
        <v>0</v>
      </c>
      <c r="W28" s="5" t="n">
        <f aca="false">J28+S28+T28+U28+V28</f>
        <v>102070.077498676</v>
      </c>
      <c r="X28" s="9" t="n">
        <f aca="false">W28/J28-1</f>
        <v>0.000687034300746126</v>
      </c>
      <c r="Y28" s="6" t="n">
        <f aca="false">INDEX(DRIVERS!$B$32:$B$42,MATCH(B28,DRIVERS!$A$32:$A$42,0))</f>
        <v>0.1</v>
      </c>
      <c r="Z28" s="5" t="n">
        <f aca="false">W28*(1+Y28)</f>
        <v>112277.085248544</v>
      </c>
      <c r="AA28" s="5" t="n">
        <f aca="false">W28*(1+Y28+DRIVERS!$B$26)*(1+DRIVERS!$B$27)</f>
        <v>131466.259818295</v>
      </c>
      <c r="AB28" s="2" t="s">
        <v>272</v>
      </c>
      <c r="AC28" s="8"/>
      <c r="AD28" s="2" t="s">
        <v>282</v>
      </c>
    </row>
    <row r="29" customFormat="false" ht="15" hidden="false" customHeight="false" outlineLevel="0" collapsed="false">
      <c r="A29" s="2" t="s">
        <v>283</v>
      </c>
      <c r="B29" s="2" t="s">
        <v>235</v>
      </c>
      <c r="C29" s="2" t="s">
        <v>91</v>
      </c>
      <c r="D29" s="2" t="s">
        <v>284</v>
      </c>
      <c r="E29" s="2" t="s">
        <v>285</v>
      </c>
      <c r="F29" s="2" t="s">
        <v>186</v>
      </c>
      <c r="G29" s="2" t="s">
        <v>186</v>
      </c>
      <c r="H29" s="5" t="n">
        <v>216000</v>
      </c>
      <c r="I29" s="6" t="n">
        <f aca="false">INDEX(SUPPLIERS!$D$3:$D$30,MATCH(C29,SUPPLIERS!$A$3:$A$30,0))</f>
        <v>0</v>
      </c>
      <c r="J29" s="5" t="n">
        <f aca="false">H29*(1-I29)</f>
        <v>216000</v>
      </c>
      <c r="K29" s="2" t="n">
        <v>50</v>
      </c>
      <c r="L29" s="2" t="s">
        <v>238</v>
      </c>
      <c r="M29" s="5" t="n">
        <f aca="false">IF(K29="","",J29/K29)</f>
        <v>4320</v>
      </c>
      <c r="N29" s="2" t="n">
        <v>107.1</v>
      </c>
      <c r="O29" s="13" t="n">
        <v>0.40439</v>
      </c>
      <c r="P29" s="2" t="s">
        <v>271</v>
      </c>
      <c r="Q29" s="14" t="n">
        <f aca="false">MAX(N29/DRIVERS!$B$5,O29/DRIVERS!$B$6)</f>
        <v>0.0357</v>
      </c>
      <c r="R29" s="15" t="n">
        <f aca="false">ROUNDDOWN(1/Q29,0)</f>
        <v>28</v>
      </c>
      <c r="S29" s="5" t="n">
        <f aca="false">DRIVERS!$B$23*Q29/DRIVERS!$B$24</f>
        <v>185.316052054573</v>
      </c>
      <c r="T29" s="5" t="n">
        <f aca="false">J29*INDEX(DRIVERS!$C$32:$C$42,MATCH(B29,DRIVERS!$A$32:$A$42,0))</f>
        <v>0</v>
      </c>
      <c r="U29" s="5" t="n">
        <f aca="false">J29*INDEX(SUPPLIERS!$E$3:$E$30,MATCH(C29,SUPPLIERS!$A$3:$A$30,0))</f>
        <v>0</v>
      </c>
      <c r="V29" s="5" t="n">
        <v>0</v>
      </c>
      <c r="W29" s="5" t="n">
        <f aca="false">J29+S29+T29+U29+V29</f>
        <v>216185.316052055</v>
      </c>
      <c r="X29" s="9" t="n">
        <f aca="false">W29/J29-1</f>
        <v>0.000857944685437762</v>
      </c>
      <c r="Y29" s="6" t="n">
        <f aca="false">INDEX(DRIVERS!$B$32:$B$42,MATCH(B29,DRIVERS!$A$32:$A$42,0))</f>
        <v>0.1</v>
      </c>
      <c r="Z29" s="5" t="n">
        <f aca="false">W29*(1+Y29)</f>
        <v>237803.84765726</v>
      </c>
      <c r="AA29" s="5" t="n">
        <f aca="false">W29*(1+Y29+DRIVERS!$B$26)*(1+DRIVERS!$B$27)</f>
        <v>278446.687075046</v>
      </c>
      <c r="AB29" s="2" t="s">
        <v>272</v>
      </c>
      <c r="AC29" s="8"/>
      <c r="AD29" s="2" t="s">
        <v>286</v>
      </c>
    </row>
    <row r="30" customFormat="false" ht="15" hidden="false" customHeight="false" outlineLevel="0" collapsed="false">
      <c r="A30" s="2" t="s">
        <v>287</v>
      </c>
      <c r="B30" s="2" t="s">
        <v>235</v>
      </c>
      <c r="C30" s="2" t="s">
        <v>91</v>
      </c>
      <c r="D30" s="2" t="s">
        <v>288</v>
      </c>
      <c r="E30" s="2" t="s">
        <v>289</v>
      </c>
      <c r="F30" s="2" t="s">
        <v>186</v>
      </c>
      <c r="G30" s="2" t="s">
        <v>186</v>
      </c>
      <c r="H30" s="5" t="n">
        <v>19000</v>
      </c>
      <c r="I30" s="6" t="n">
        <f aca="false">INDEX(SUPPLIERS!$D$3:$D$30,MATCH(C30,SUPPLIERS!$A$3:$A$30,0))</f>
        <v>0</v>
      </c>
      <c r="J30" s="5" t="n">
        <f aca="false">H30*(1-I30)</f>
        <v>19000</v>
      </c>
      <c r="K30" s="2" t="n">
        <v>6</v>
      </c>
      <c r="L30" s="2" t="s">
        <v>238</v>
      </c>
      <c r="M30" s="5" t="n">
        <f aca="false">IF(K30="","",J30/K30)</f>
        <v>3166.66666666667</v>
      </c>
      <c r="N30" s="2" t="n">
        <v>14.5</v>
      </c>
      <c r="O30" s="13" t="n">
        <v>0.04612</v>
      </c>
      <c r="P30" s="2" t="s">
        <v>290</v>
      </c>
      <c r="Q30" s="14" t="n">
        <f aca="false">MAX(N30/DRIVERS!$B$5,O30/DRIVERS!$B$6)</f>
        <v>0.00483333333333333</v>
      </c>
      <c r="R30" s="15" t="n">
        <f aca="false">ROUNDDOWN(1/Q30,0)</f>
        <v>206</v>
      </c>
      <c r="S30" s="5" t="n">
        <f aca="false">DRIVERS!$B$23*Q30/DRIVERS!$B$24</f>
        <v>25.0894748346527</v>
      </c>
      <c r="T30" s="5" t="n">
        <f aca="false">J30*INDEX(DRIVERS!$C$32:$C$42,MATCH(B30,DRIVERS!$A$32:$A$42,0))</f>
        <v>0</v>
      </c>
      <c r="U30" s="5" t="n">
        <f aca="false">J30*INDEX(SUPPLIERS!$E$3:$E$30,MATCH(C30,SUPPLIERS!$A$3:$A$30,0))</f>
        <v>0</v>
      </c>
      <c r="V30" s="5" t="n">
        <v>0</v>
      </c>
      <c r="W30" s="5" t="n">
        <f aca="false">J30+S30+T30+U30+V30</f>
        <v>19025.0894748347</v>
      </c>
      <c r="X30" s="9" t="n">
        <f aca="false">W30/J30-1</f>
        <v>0.00132049867550799</v>
      </c>
      <c r="Y30" s="6" t="n">
        <f aca="false">INDEX(DRIVERS!$B$32:$B$42,MATCH(B30,DRIVERS!$A$32:$A$42,0))</f>
        <v>0.1</v>
      </c>
      <c r="Z30" s="5" t="n">
        <f aca="false">W30*(1+Y30)</f>
        <v>20927.5984223181</v>
      </c>
      <c r="AA30" s="5" t="n">
        <f aca="false">W30*(1+Y30+DRIVERS!$B$26)*(1+DRIVERS!$B$27)</f>
        <v>24504.315243587</v>
      </c>
      <c r="AB30" s="2" t="s">
        <v>272</v>
      </c>
      <c r="AC30" s="8"/>
      <c r="AD30" s="2" t="s">
        <v>291</v>
      </c>
    </row>
    <row r="31" customFormat="false" ht="15" hidden="false" customHeight="false" outlineLevel="0" collapsed="false">
      <c r="A31" s="2" t="s">
        <v>292</v>
      </c>
      <c r="B31" s="2" t="s">
        <v>235</v>
      </c>
      <c r="C31" s="2" t="s">
        <v>91</v>
      </c>
      <c r="D31" s="2" t="s">
        <v>293</v>
      </c>
      <c r="E31" s="2" t="s">
        <v>294</v>
      </c>
      <c r="F31" s="2" t="s">
        <v>186</v>
      </c>
      <c r="G31" s="2" t="s">
        <v>186</v>
      </c>
      <c r="H31" s="5" t="n">
        <v>32000</v>
      </c>
      <c r="I31" s="6" t="n">
        <f aca="false">INDEX(SUPPLIERS!$D$3:$D$30,MATCH(C31,SUPPLIERS!$A$3:$A$30,0))</f>
        <v>0</v>
      </c>
      <c r="J31" s="5" t="n">
        <f aca="false">H31*(1-I31)</f>
        <v>32000</v>
      </c>
      <c r="K31" s="2" t="n">
        <v>8</v>
      </c>
      <c r="L31" s="2" t="s">
        <v>238</v>
      </c>
      <c r="M31" s="5" t="n">
        <f aca="false">IF(K31="","",J31/K31)</f>
        <v>4000</v>
      </c>
      <c r="N31" s="2" t="n">
        <v>26</v>
      </c>
      <c r="O31" s="13" t="n">
        <v>0.10733</v>
      </c>
      <c r="P31" s="2" t="s">
        <v>295</v>
      </c>
      <c r="Q31" s="14" t="n">
        <f aca="false">MAX(N31/DRIVERS!$B$5,O31/DRIVERS!$B$6)</f>
        <v>0.00866666666666667</v>
      </c>
      <c r="R31" s="15" t="n">
        <f aca="false">ROUNDDOWN(1/Q31,0)</f>
        <v>115</v>
      </c>
      <c r="S31" s="5" t="n">
        <f aca="false">DRIVERS!$B$23*Q31/DRIVERS!$B$24</f>
        <v>44.9880238414462</v>
      </c>
      <c r="T31" s="5" t="n">
        <f aca="false">J31*INDEX(DRIVERS!$C$32:$C$42,MATCH(B31,DRIVERS!$A$32:$A$42,0))</f>
        <v>0</v>
      </c>
      <c r="U31" s="5" t="n">
        <f aca="false">J31*INDEX(SUPPLIERS!$E$3:$E$30,MATCH(C31,SUPPLIERS!$A$3:$A$30,0))</f>
        <v>0</v>
      </c>
      <c r="V31" s="5" t="n">
        <v>0</v>
      </c>
      <c r="W31" s="5" t="n">
        <f aca="false">J31+S31+T31+U31+V31</f>
        <v>32044.9880238414</v>
      </c>
      <c r="X31" s="9" t="n">
        <f aca="false">W31/J31-1</f>
        <v>0.00140587574504525</v>
      </c>
      <c r="Y31" s="6" t="n">
        <f aca="false">INDEX(DRIVERS!$B$32:$B$42,MATCH(B31,DRIVERS!$A$32:$A$42,0))</f>
        <v>0.1</v>
      </c>
      <c r="Z31" s="5" t="n">
        <f aca="false">W31*(1+Y31)</f>
        <v>35249.4868262256</v>
      </c>
      <c r="AA31" s="5" t="n">
        <f aca="false">W31*(1+Y31+DRIVERS!$B$26)*(1+DRIVERS!$B$27)</f>
        <v>41273.9445747078</v>
      </c>
      <c r="AB31" s="2" t="s">
        <v>272</v>
      </c>
      <c r="AC31" s="8"/>
      <c r="AD31" s="2" t="s">
        <v>296</v>
      </c>
    </row>
    <row r="32" customFormat="false" ht="15" hidden="false" customHeight="false" outlineLevel="0" collapsed="false">
      <c r="A32" s="2" t="s">
        <v>297</v>
      </c>
      <c r="B32" s="2" t="s">
        <v>235</v>
      </c>
      <c r="C32" s="2" t="s">
        <v>91</v>
      </c>
      <c r="D32" s="2" t="s">
        <v>298</v>
      </c>
      <c r="E32" s="2" t="s">
        <v>299</v>
      </c>
      <c r="F32" s="2" t="s">
        <v>186</v>
      </c>
      <c r="G32" s="2" t="s">
        <v>186</v>
      </c>
      <c r="H32" s="5" t="n">
        <v>39000</v>
      </c>
      <c r="I32" s="6" t="n">
        <f aca="false">INDEX(SUPPLIERS!$D$3:$D$30,MATCH(C32,SUPPLIERS!$A$3:$A$30,0))</f>
        <v>0</v>
      </c>
      <c r="J32" s="5" t="n">
        <f aca="false">H32*(1-I32)</f>
        <v>39000</v>
      </c>
      <c r="K32" s="2" t="n">
        <v>12</v>
      </c>
      <c r="L32" s="2" t="s">
        <v>238</v>
      </c>
      <c r="M32" s="5" t="n">
        <f aca="false">IF(K32="","",J32/K32)</f>
        <v>3250</v>
      </c>
      <c r="N32" s="2" t="n">
        <v>29.5</v>
      </c>
      <c r="O32" s="13" t="n">
        <v>0.11126</v>
      </c>
      <c r="P32" s="2" t="s">
        <v>300</v>
      </c>
      <c r="Q32" s="14" t="n">
        <f aca="false">MAX(N32/DRIVERS!$B$5,O32/DRIVERS!$B$6)</f>
        <v>0.00983333333333333</v>
      </c>
      <c r="R32" s="15" t="n">
        <f aca="false">ROUNDDOWN(1/Q32,0)</f>
        <v>101</v>
      </c>
      <c r="S32" s="5" t="n">
        <f aca="false">DRIVERS!$B$23*Q32/DRIVERS!$B$24</f>
        <v>51.0441039739486</v>
      </c>
      <c r="T32" s="5" t="n">
        <f aca="false">J32*INDEX(DRIVERS!$C$32:$C$42,MATCH(B32,DRIVERS!$A$32:$A$42,0))</f>
        <v>0</v>
      </c>
      <c r="U32" s="5" t="n">
        <f aca="false">J32*INDEX(SUPPLIERS!$E$3:$E$30,MATCH(C32,SUPPLIERS!$A$3:$A$30,0))</f>
        <v>0</v>
      </c>
      <c r="V32" s="5" t="n">
        <v>0</v>
      </c>
      <c r="W32" s="5" t="n">
        <f aca="false">J32+S32+T32+U32+V32</f>
        <v>39051.0441039739</v>
      </c>
      <c r="X32" s="9" t="n">
        <f aca="false">W32/J32-1</f>
        <v>0.0013088231788192</v>
      </c>
      <c r="Y32" s="6" t="n">
        <f aca="false">INDEX(DRIVERS!$B$32:$B$42,MATCH(B32,DRIVERS!$A$32:$A$42,0))</f>
        <v>0.1</v>
      </c>
      <c r="Z32" s="5" t="n">
        <f aca="false">W32*(1+Y32)</f>
        <v>42956.1485143713</v>
      </c>
      <c r="AA32" s="5" t="n">
        <f aca="false">W32*(1+Y32+DRIVERS!$B$26)*(1+DRIVERS!$B$27)</f>
        <v>50297.7448059185</v>
      </c>
      <c r="AB32" s="2" t="s">
        <v>272</v>
      </c>
      <c r="AC32" s="8"/>
      <c r="AD32" s="2" t="s">
        <v>301</v>
      </c>
    </row>
    <row r="33" customFormat="false" ht="15" hidden="false" customHeight="false" outlineLevel="0" collapsed="false">
      <c r="A33" s="2" t="s">
        <v>302</v>
      </c>
      <c r="B33" s="2" t="s">
        <v>235</v>
      </c>
      <c r="C33" s="2" t="s">
        <v>91</v>
      </c>
      <c r="D33" s="2" t="s">
        <v>303</v>
      </c>
      <c r="E33" s="2" t="s">
        <v>304</v>
      </c>
      <c r="F33" s="2" t="s">
        <v>186</v>
      </c>
      <c r="G33" s="2" t="s">
        <v>186</v>
      </c>
      <c r="H33" s="5" t="n">
        <v>25000</v>
      </c>
      <c r="I33" s="6" t="n">
        <f aca="false">INDEX(SUPPLIERS!$D$3:$D$30,MATCH(C33,SUPPLIERS!$A$3:$A$30,0))</f>
        <v>0</v>
      </c>
      <c r="J33" s="5" t="n">
        <f aca="false">H33*(1-I33)</f>
        <v>25000</v>
      </c>
      <c r="K33" s="2" t="n">
        <v>6</v>
      </c>
      <c r="L33" s="2" t="s">
        <v>238</v>
      </c>
      <c r="M33" s="5" t="n">
        <f aca="false">IF(K33="","",J33/K33)</f>
        <v>4166.66666666667</v>
      </c>
      <c r="N33" s="2" t="n">
        <v>15.5</v>
      </c>
      <c r="O33" s="13" t="n">
        <v>0.05918</v>
      </c>
      <c r="P33" s="2" t="s">
        <v>305</v>
      </c>
      <c r="Q33" s="14" t="n">
        <f aca="false">MAX(N33/DRIVERS!$B$5,O33/DRIVERS!$B$6)</f>
        <v>0.00516666666666667</v>
      </c>
      <c r="R33" s="15" t="n">
        <f aca="false">ROUNDDOWN(1/Q33,0)</f>
        <v>193</v>
      </c>
      <c r="S33" s="5" t="n">
        <f aca="false">DRIVERS!$B$23*Q33/DRIVERS!$B$24</f>
        <v>26.8197834439391</v>
      </c>
      <c r="T33" s="5" t="n">
        <f aca="false">J33*INDEX(DRIVERS!$C$32:$C$42,MATCH(B33,DRIVERS!$A$32:$A$42,0))</f>
        <v>0</v>
      </c>
      <c r="U33" s="5" t="n">
        <f aca="false">J33*INDEX(SUPPLIERS!$E$3:$E$30,MATCH(C33,SUPPLIERS!$A$3:$A$30,0))</f>
        <v>0</v>
      </c>
      <c r="V33" s="5" t="n">
        <v>0</v>
      </c>
      <c r="W33" s="5" t="n">
        <f aca="false">J33+S33+T33+U33+V33</f>
        <v>25026.8197834439</v>
      </c>
      <c r="X33" s="9" t="n">
        <f aca="false">W33/J33-1</f>
        <v>0.00107279133775751</v>
      </c>
      <c r="Y33" s="6" t="n">
        <f aca="false">INDEX(DRIVERS!$B$32:$B$42,MATCH(B33,DRIVERS!$A$32:$A$42,0))</f>
        <v>0.1</v>
      </c>
      <c r="Z33" s="5" t="n">
        <f aca="false">W33*(1+Y33)</f>
        <v>27529.5017617883</v>
      </c>
      <c r="AA33" s="5" t="n">
        <f aca="false">W33*(1+Y33+DRIVERS!$B$26)*(1+DRIVERS!$B$27)</f>
        <v>32234.5438810758</v>
      </c>
      <c r="AB33" s="2" t="s">
        <v>272</v>
      </c>
      <c r="AC33" s="8"/>
      <c r="AD33" s="2" t="s">
        <v>306</v>
      </c>
    </row>
    <row r="34" customFormat="false" ht="15" hidden="false" customHeight="false" outlineLevel="0" collapsed="false">
      <c r="A34" s="2" t="s">
        <v>307</v>
      </c>
      <c r="B34" s="2" t="s">
        <v>235</v>
      </c>
      <c r="C34" s="2" t="s">
        <v>90</v>
      </c>
      <c r="D34" s="2" t="s">
        <v>308</v>
      </c>
      <c r="E34" s="2" t="s">
        <v>309</v>
      </c>
      <c r="F34" s="2" t="s">
        <v>186</v>
      </c>
      <c r="G34" s="2" t="s">
        <v>186</v>
      </c>
      <c r="H34" s="5" t="n">
        <v>25600</v>
      </c>
      <c r="I34" s="6" t="n">
        <f aca="false">INDEX(SUPPLIERS!$D$3:$D$30,MATCH(C34,SUPPLIERS!$A$3:$A$30,0))</f>
        <v>0</v>
      </c>
      <c r="J34" s="5" t="n">
        <f aca="false">H34*(1-I34)</f>
        <v>25600</v>
      </c>
      <c r="K34" s="2" t="n">
        <v>6</v>
      </c>
      <c r="L34" s="2" t="s">
        <v>238</v>
      </c>
      <c r="M34" s="5" t="n">
        <f aca="false">IF(K34="","",J34/K34)</f>
        <v>4266.66666666667</v>
      </c>
      <c r="N34" s="2" t="n">
        <v>15</v>
      </c>
      <c r="O34" s="13" t="n">
        <v>0.06929</v>
      </c>
      <c r="P34" s="2" t="s">
        <v>310</v>
      </c>
      <c r="Q34" s="14" t="n">
        <f aca="false">MAX(N34/DRIVERS!$B$5,O34/DRIVERS!$B$6)</f>
        <v>0.005</v>
      </c>
      <c r="R34" s="15" t="n">
        <f aca="false">ROUNDDOWN(1/Q34,0)</f>
        <v>200</v>
      </c>
      <c r="S34" s="5" t="n">
        <f aca="false">DRIVERS!$B$23*Q34/DRIVERS!$B$24</f>
        <v>25.9546291392959</v>
      </c>
      <c r="T34" s="5" t="n">
        <f aca="false">J34*INDEX(DRIVERS!$C$32:$C$42,MATCH(B34,DRIVERS!$A$32:$A$42,0))</f>
        <v>0</v>
      </c>
      <c r="U34" s="5" t="n">
        <f aca="false">J34*INDEX(SUPPLIERS!$E$3:$E$30,MATCH(C34,SUPPLIERS!$A$3:$A$30,0))</f>
        <v>0</v>
      </c>
      <c r="V34" s="5" t="n">
        <v>0</v>
      </c>
      <c r="W34" s="5" t="n">
        <f aca="false">J34+S34+T34+U34+V34</f>
        <v>25625.9546291393</v>
      </c>
      <c r="X34" s="9" t="n">
        <f aca="false">W34/J34-1</f>
        <v>0.00101385270075371</v>
      </c>
      <c r="Y34" s="6" t="n">
        <f aca="false">INDEX(DRIVERS!$B$32:$B$42,MATCH(B34,DRIVERS!$A$32:$A$42,0))</f>
        <v>0.1</v>
      </c>
      <c r="Z34" s="5" t="n">
        <f aca="false">W34*(1+Y34)</f>
        <v>28188.5500920532</v>
      </c>
      <c r="AA34" s="5" t="n">
        <f aca="false">W34*(1+Y34+DRIVERS!$B$26)*(1+DRIVERS!$B$27)</f>
        <v>33006.2295623314</v>
      </c>
      <c r="AB34" s="2" t="s">
        <v>205</v>
      </c>
      <c r="AC34" s="8"/>
    </row>
    <row r="35" customFormat="false" ht="15" hidden="false" customHeight="false" outlineLevel="0" collapsed="false">
      <c r="A35" s="2" t="s">
        <v>311</v>
      </c>
      <c r="B35" s="2" t="s">
        <v>235</v>
      </c>
      <c r="C35" s="2" t="s">
        <v>90</v>
      </c>
      <c r="D35" s="2" t="s">
        <v>312</v>
      </c>
      <c r="E35" s="2" t="s">
        <v>313</v>
      </c>
      <c r="F35" s="2" t="s">
        <v>186</v>
      </c>
      <c r="G35" s="2" t="s">
        <v>186</v>
      </c>
      <c r="H35" s="5" t="n">
        <v>47000</v>
      </c>
      <c r="I35" s="6" t="n">
        <f aca="false">INDEX(SUPPLIERS!$D$3:$D$30,MATCH(C35,SUPPLIERS!$A$3:$A$30,0))</f>
        <v>0</v>
      </c>
      <c r="J35" s="5" t="n">
        <f aca="false">H35*(1-I35)</f>
        <v>47000</v>
      </c>
      <c r="K35" s="2" t="n">
        <v>10</v>
      </c>
      <c r="L35" s="2" t="s">
        <v>238</v>
      </c>
      <c r="M35" s="5" t="n">
        <f aca="false">IF(K35="","",J35/K35)</f>
        <v>4700</v>
      </c>
      <c r="N35" s="2" t="n">
        <v>21.5</v>
      </c>
      <c r="O35" s="13" t="n">
        <v>0.08463</v>
      </c>
      <c r="P35" s="2" t="s">
        <v>310</v>
      </c>
      <c r="Q35" s="14" t="n">
        <f aca="false">MAX(N35/DRIVERS!$B$5,O35/DRIVERS!$B$6)</f>
        <v>0.00716666666666667</v>
      </c>
      <c r="R35" s="15" t="n">
        <f aca="false">ROUNDDOWN(1/Q35,0)</f>
        <v>139</v>
      </c>
      <c r="S35" s="5" t="n">
        <f aca="false">DRIVERS!$B$23*Q35/DRIVERS!$B$24</f>
        <v>37.2016350996575</v>
      </c>
      <c r="T35" s="5" t="n">
        <f aca="false">J35*INDEX(DRIVERS!$C$32:$C$42,MATCH(B35,DRIVERS!$A$32:$A$42,0))</f>
        <v>0</v>
      </c>
      <c r="U35" s="5" t="n">
        <f aca="false">J35*INDEX(SUPPLIERS!$E$3:$E$30,MATCH(C35,SUPPLIERS!$A$3:$A$30,0))</f>
        <v>0</v>
      </c>
      <c r="V35" s="5" t="n">
        <v>0</v>
      </c>
      <c r="W35" s="5" t="n">
        <f aca="false">J35+S35+T35+U35+V35</f>
        <v>47037.2016350997</v>
      </c>
      <c r="X35" s="9" t="n">
        <f aca="false">W35/J35-1</f>
        <v>0.000791524151056544</v>
      </c>
      <c r="Y35" s="6" t="n">
        <f aca="false">INDEX(DRIVERS!$B$32:$B$42,MATCH(B35,DRIVERS!$A$32:$A$42,0))</f>
        <v>0.1</v>
      </c>
      <c r="Z35" s="5" t="n">
        <f aca="false">W35*(1+Y35)</f>
        <v>51740.9217986096</v>
      </c>
      <c r="AA35" s="5" t="n">
        <f aca="false">W35*(1+Y35+DRIVERS!$B$26)*(1+DRIVERS!$B$27)</f>
        <v>60583.9157060084</v>
      </c>
      <c r="AB35" s="2" t="s">
        <v>205</v>
      </c>
      <c r="AC35" s="8"/>
    </row>
    <row r="36" customFormat="false" ht="15" hidden="false" customHeight="false" outlineLevel="0" collapsed="false">
      <c r="A36" s="2" t="s">
        <v>314</v>
      </c>
      <c r="B36" s="2" t="s">
        <v>235</v>
      </c>
      <c r="C36" s="2" t="s">
        <v>90</v>
      </c>
      <c r="D36" s="2" t="s">
        <v>315</v>
      </c>
      <c r="E36" s="2" t="s">
        <v>316</v>
      </c>
      <c r="F36" s="2" t="s">
        <v>186</v>
      </c>
      <c r="G36" s="2" t="s">
        <v>186</v>
      </c>
      <c r="H36" s="5" t="n">
        <v>40000</v>
      </c>
      <c r="I36" s="6" t="n">
        <f aca="false">INDEX(SUPPLIERS!$D$3:$D$30,MATCH(C36,SUPPLIERS!$A$3:$A$30,0))</f>
        <v>0</v>
      </c>
      <c r="J36" s="5" t="n">
        <f aca="false">H36*(1-I36)</f>
        <v>40000</v>
      </c>
      <c r="K36" s="2" t="n">
        <v>8</v>
      </c>
      <c r="L36" s="2" t="s">
        <v>238</v>
      </c>
      <c r="M36" s="5" t="n">
        <f aca="false">IF(K36="","",J36/K36)</f>
        <v>5000</v>
      </c>
      <c r="N36" s="2" t="n">
        <v>21.5</v>
      </c>
      <c r="O36" s="13" t="n">
        <v>0.10234</v>
      </c>
      <c r="P36" s="2" t="s">
        <v>310</v>
      </c>
      <c r="Q36" s="14" t="n">
        <f aca="false">MAX(N36/DRIVERS!$B$5,O36/DRIVERS!$B$6)</f>
        <v>0.00716960713593428</v>
      </c>
      <c r="R36" s="15" t="n">
        <f aca="false">ROUNDDOWN(1/Q36,0)</f>
        <v>139</v>
      </c>
      <c r="S36" s="5" t="n">
        <f aca="false">DRIVERS!$B$23*Q36/DRIVERS!$B$24</f>
        <v>37.2168988575247</v>
      </c>
      <c r="T36" s="5" t="n">
        <f aca="false">J36*INDEX(DRIVERS!$C$32:$C$42,MATCH(B36,DRIVERS!$A$32:$A$42,0))</f>
        <v>0</v>
      </c>
      <c r="U36" s="5" t="n">
        <f aca="false">J36*INDEX(SUPPLIERS!$E$3:$E$30,MATCH(C36,SUPPLIERS!$A$3:$A$30,0))</f>
        <v>0</v>
      </c>
      <c r="V36" s="5" t="n">
        <v>0</v>
      </c>
      <c r="W36" s="5" t="n">
        <f aca="false">J36+S36+T36+U36+V36</f>
        <v>40037.2168988575</v>
      </c>
      <c r="X36" s="9" t="n">
        <f aca="false">W36/J36-1</f>
        <v>0.000930422471437931</v>
      </c>
      <c r="Y36" s="6" t="n">
        <f aca="false">INDEX(DRIVERS!$B$32:$B$42,MATCH(B36,DRIVERS!$A$32:$A$42,0))</f>
        <v>0.1</v>
      </c>
      <c r="Z36" s="5" t="n">
        <f aca="false">W36*(1+Y36)</f>
        <v>44040.9385887433</v>
      </c>
      <c r="AA36" s="5" t="n">
        <f aca="false">W36*(1+Y36+DRIVERS!$B$26)*(1+DRIVERS!$B$27)</f>
        <v>51567.9353657285</v>
      </c>
      <c r="AB36" s="2" t="s">
        <v>205</v>
      </c>
      <c r="AC36" s="8"/>
    </row>
    <row r="37" customFormat="false" ht="15" hidden="false" customHeight="false" outlineLevel="0" collapsed="false">
      <c r="A37" s="2" t="s">
        <v>317</v>
      </c>
      <c r="B37" s="2" t="s">
        <v>235</v>
      </c>
      <c r="C37" s="2" t="s">
        <v>90</v>
      </c>
      <c r="D37" s="2" t="s">
        <v>318</v>
      </c>
      <c r="E37" s="2" t="s">
        <v>319</v>
      </c>
      <c r="F37" s="2" t="s">
        <v>186</v>
      </c>
      <c r="G37" s="2" t="s">
        <v>186</v>
      </c>
      <c r="H37" s="5" t="n">
        <v>25600</v>
      </c>
      <c r="I37" s="6" t="n">
        <f aca="false">INDEX(SUPPLIERS!$D$3:$D$30,MATCH(C37,SUPPLIERS!$A$3:$A$30,0))</f>
        <v>0</v>
      </c>
      <c r="J37" s="5" t="n">
        <f aca="false">H37*(1-I37)</f>
        <v>25600</v>
      </c>
      <c r="K37" s="2" t="n">
        <v>5</v>
      </c>
      <c r="L37" s="2" t="s">
        <v>238</v>
      </c>
      <c r="M37" s="5" t="n">
        <f aca="false">IF(K37="","",J37/K37)</f>
        <v>5120</v>
      </c>
      <c r="N37" s="2" t="n">
        <v>15</v>
      </c>
      <c r="O37" s="13" t="n">
        <v>0.06145</v>
      </c>
      <c r="P37" s="2" t="s">
        <v>310</v>
      </c>
      <c r="Q37" s="14" t="n">
        <f aca="false">MAX(N37/DRIVERS!$B$5,O37/DRIVERS!$B$6)</f>
        <v>0.005</v>
      </c>
      <c r="R37" s="15" t="n">
        <f aca="false">ROUNDDOWN(1/Q37,0)</f>
        <v>200</v>
      </c>
      <c r="S37" s="5" t="n">
        <f aca="false">DRIVERS!$B$23*Q37/DRIVERS!$B$24</f>
        <v>25.9546291392959</v>
      </c>
      <c r="T37" s="5" t="n">
        <f aca="false">J37*INDEX(DRIVERS!$C$32:$C$42,MATCH(B37,DRIVERS!$A$32:$A$42,0))</f>
        <v>0</v>
      </c>
      <c r="U37" s="5" t="n">
        <f aca="false">J37*INDEX(SUPPLIERS!$E$3:$E$30,MATCH(C37,SUPPLIERS!$A$3:$A$30,0))</f>
        <v>0</v>
      </c>
      <c r="V37" s="5" t="n">
        <v>0</v>
      </c>
      <c r="W37" s="5" t="n">
        <f aca="false">J37+S37+T37+U37+V37</f>
        <v>25625.9546291393</v>
      </c>
      <c r="X37" s="9" t="n">
        <f aca="false">W37/J37-1</f>
        <v>0.00101385270075371</v>
      </c>
      <c r="Y37" s="6" t="n">
        <f aca="false">INDEX(DRIVERS!$B$32:$B$42,MATCH(B37,DRIVERS!$A$32:$A$42,0))</f>
        <v>0.1</v>
      </c>
      <c r="Z37" s="5" t="n">
        <f aca="false">W37*(1+Y37)</f>
        <v>28188.5500920532</v>
      </c>
      <c r="AA37" s="5" t="n">
        <f aca="false">W37*(1+Y37+DRIVERS!$B$26)*(1+DRIVERS!$B$27)</f>
        <v>33006.2295623314</v>
      </c>
      <c r="AB37" s="2" t="s">
        <v>205</v>
      </c>
      <c r="AC37" s="8"/>
    </row>
    <row r="38" customFormat="false" ht="15" hidden="false" customHeight="false" outlineLevel="0" collapsed="false">
      <c r="A38" s="2" t="s">
        <v>320</v>
      </c>
      <c r="B38" s="2" t="s">
        <v>235</v>
      </c>
      <c r="C38" s="2" t="s">
        <v>90</v>
      </c>
      <c r="D38" s="2" t="s">
        <v>321</v>
      </c>
      <c r="E38" s="2" t="s">
        <v>322</v>
      </c>
      <c r="F38" s="2" t="s">
        <v>186</v>
      </c>
      <c r="G38" s="2" t="s">
        <v>186</v>
      </c>
      <c r="H38" s="5" t="n">
        <v>22000</v>
      </c>
      <c r="I38" s="6" t="n">
        <f aca="false">INDEX(SUPPLIERS!$D$3:$D$30,MATCH(C38,SUPPLIERS!$A$3:$A$30,0))</f>
        <v>0</v>
      </c>
      <c r="J38" s="5" t="n">
        <f aca="false">H38*(1-I38)</f>
        <v>22000</v>
      </c>
      <c r="K38" s="2" t="n">
        <v>3</v>
      </c>
      <c r="L38" s="2" t="s">
        <v>238</v>
      </c>
      <c r="M38" s="5" t="n">
        <f aca="false">IF(K38="","",J38/K38)</f>
        <v>7333.33333333333</v>
      </c>
      <c r="N38" s="2" t="n">
        <v>9</v>
      </c>
      <c r="O38" s="13" t="n">
        <v>0.05383</v>
      </c>
      <c r="P38" s="2" t="s">
        <v>310</v>
      </c>
      <c r="Q38" s="14" t="n">
        <f aca="false">MAX(N38/DRIVERS!$B$5,O38/DRIVERS!$B$6)</f>
        <v>0.00377115450583684</v>
      </c>
      <c r="R38" s="15" t="n">
        <f aca="false">ROUNDDOWN(1/Q38,0)</f>
        <v>265</v>
      </c>
      <c r="S38" s="5" t="n">
        <f aca="false">DRIVERS!$B$23*Q38/DRIVERS!$B$24</f>
        <v>19.575783325196</v>
      </c>
      <c r="T38" s="5" t="n">
        <f aca="false">J38*INDEX(DRIVERS!$C$32:$C$42,MATCH(B38,DRIVERS!$A$32:$A$42,0))</f>
        <v>0</v>
      </c>
      <c r="U38" s="5" t="n">
        <f aca="false">J38*INDEX(SUPPLIERS!$E$3:$E$30,MATCH(C38,SUPPLIERS!$A$3:$A$30,0))</f>
        <v>0</v>
      </c>
      <c r="V38" s="5" t="n">
        <v>0</v>
      </c>
      <c r="W38" s="5" t="n">
        <f aca="false">J38+S38+T38+U38+V38</f>
        <v>22019.5757833252</v>
      </c>
      <c r="X38" s="9" t="n">
        <f aca="false">W38/J38-1</f>
        <v>0.000889808332963371</v>
      </c>
      <c r="Y38" s="6" t="n">
        <f aca="false">INDEX(DRIVERS!$B$32:$B$42,MATCH(B38,DRIVERS!$A$32:$A$42,0))</f>
        <v>0.1</v>
      </c>
      <c r="Z38" s="5" t="n">
        <f aca="false">W38*(1+Y38)</f>
        <v>24221.5333616577</v>
      </c>
      <c r="AA38" s="5" t="n">
        <f aca="false">W38*(1+Y38+DRIVERS!$B$26)*(1+DRIVERS!$B$27)</f>
        <v>28361.2136089229</v>
      </c>
      <c r="AB38" s="2" t="s">
        <v>205</v>
      </c>
      <c r="AC38" s="8"/>
    </row>
    <row r="39" customFormat="false" ht="15" hidden="false" customHeight="false" outlineLevel="0" collapsed="false">
      <c r="A39" s="2" t="s">
        <v>323</v>
      </c>
      <c r="B39" s="2" t="s">
        <v>235</v>
      </c>
      <c r="C39" s="2" t="s">
        <v>90</v>
      </c>
      <c r="D39" s="2" t="s">
        <v>324</v>
      </c>
      <c r="E39" s="2" t="s">
        <v>325</v>
      </c>
      <c r="F39" s="2" t="s">
        <v>186</v>
      </c>
      <c r="G39" s="2" t="s">
        <v>186</v>
      </c>
      <c r="H39" s="5" t="n">
        <v>290000</v>
      </c>
      <c r="I39" s="6" t="n">
        <f aca="false">INDEX(SUPPLIERS!$D$3:$D$30,MATCH(C39,SUPPLIERS!$A$3:$A$30,0))</f>
        <v>0</v>
      </c>
      <c r="J39" s="5" t="n">
        <f aca="false">H39*(1-I39)</f>
        <v>290000</v>
      </c>
      <c r="K39" s="2" t="n">
        <v>200</v>
      </c>
      <c r="L39" s="2" t="s">
        <v>238</v>
      </c>
      <c r="M39" s="5" t="n">
        <f aca="false">IF(K39="","",J39/K39)</f>
        <v>1450</v>
      </c>
      <c r="N39" s="2" t="n">
        <v>120</v>
      </c>
      <c r="O39" s="13" t="n">
        <v>0.69575</v>
      </c>
      <c r="P39" s="2" t="s">
        <v>310</v>
      </c>
      <c r="Q39" s="14" t="n">
        <f aca="false">MAX(N39/DRIVERS!$B$5,O39/DRIVERS!$B$6)</f>
        <v>0.0487419793318964</v>
      </c>
      <c r="R39" s="15" t="n">
        <f aca="false">ROUNDDOWN(1/Q39,0)</f>
        <v>20</v>
      </c>
      <c r="S39" s="5" t="n">
        <f aca="false">DRIVERS!$B$23*Q39/DRIVERS!$B$24</f>
        <v>253.015999414919</v>
      </c>
      <c r="T39" s="5" t="n">
        <f aca="false">J39*INDEX(DRIVERS!$C$32:$C$42,MATCH(B39,DRIVERS!$A$32:$A$42,0))</f>
        <v>0</v>
      </c>
      <c r="U39" s="5" t="n">
        <f aca="false">J39*INDEX(SUPPLIERS!$E$3:$E$30,MATCH(C39,SUPPLIERS!$A$3:$A$30,0))</f>
        <v>0</v>
      </c>
      <c r="V39" s="5" t="n">
        <v>0</v>
      </c>
      <c r="W39" s="5" t="n">
        <f aca="false">J39+S39+T39+U39+V39</f>
        <v>290253.015999415</v>
      </c>
      <c r="X39" s="9" t="n">
        <f aca="false">W39/J39-1</f>
        <v>0.000872468963499573</v>
      </c>
      <c r="Y39" s="6" t="n">
        <f aca="false">INDEX(DRIVERS!$B$32:$B$42,MATCH(B39,DRIVERS!$A$32:$A$42,0))</f>
        <v>0.1</v>
      </c>
      <c r="Z39" s="5" t="n">
        <f aca="false">W39*(1+Y39)</f>
        <v>319278.317599356</v>
      </c>
      <c r="AA39" s="5" t="n">
        <f aca="false">W39*(1+Y39+DRIVERS!$B$26)*(1+DRIVERS!$B$27)</f>
        <v>373845.884607247</v>
      </c>
      <c r="AB39" s="2" t="s">
        <v>205</v>
      </c>
      <c r="AC39" s="8"/>
    </row>
    <row r="40" customFormat="false" ht="15" hidden="false" customHeight="false" outlineLevel="0" collapsed="false">
      <c r="A40" s="2" t="s">
        <v>326</v>
      </c>
      <c r="B40" s="2" t="s">
        <v>235</v>
      </c>
      <c r="C40" s="2" t="s">
        <v>90</v>
      </c>
      <c r="D40" s="2" t="s">
        <v>327</v>
      </c>
      <c r="E40" s="2" t="s">
        <v>328</v>
      </c>
      <c r="F40" s="2" t="s">
        <v>186</v>
      </c>
      <c r="G40" s="2" t="s">
        <v>186</v>
      </c>
      <c r="H40" s="5" t="n">
        <v>250000</v>
      </c>
      <c r="I40" s="6" t="n">
        <f aca="false">INDEX(SUPPLIERS!$D$3:$D$30,MATCH(C40,SUPPLIERS!$A$3:$A$30,0))</f>
        <v>0</v>
      </c>
      <c r="J40" s="5" t="n">
        <f aca="false">H40*(1-I40)</f>
        <v>250000</v>
      </c>
      <c r="K40" s="2" t="n">
        <v>150</v>
      </c>
      <c r="L40" s="2" t="s">
        <v>238</v>
      </c>
      <c r="M40" s="5" t="n">
        <f aca="false">IF(K40="","",J40/K40)</f>
        <v>1666.66666666667</v>
      </c>
      <c r="N40" s="2" t="n">
        <v>120</v>
      </c>
      <c r="O40" s="13" t="n">
        <v>0.598</v>
      </c>
      <c r="P40" s="2" t="s">
        <v>310</v>
      </c>
      <c r="Q40" s="14" t="n">
        <f aca="false">MAX(N40/DRIVERS!$B$5,O40/DRIVERS!$B$6)</f>
        <v>0.0418939326489027</v>
      </c>
      <c r="R40" s="15" t="n">
        <f aca="false">ROUNDDOWN(1/Q40,0)</f>
        <v>23</v>
      </c>
      <c r="S40" s="5" t="n">
        <f aca="false">DRIVERS!$B$23*Q40/DRIVERS!$B$24</f>
        <v>217.468297017782</v>
      </c>
      <c r="T40" s="5" t="n">
        <f aca="false">J40*INDEX(DRIVERS!$C$32:$C$42,MATCH(B40,DRIVERS!$A$32:$A$42,0))</f>
        <v>0</v>
      </c>
      <c r="U40" s="5" t="n">
        <f aca="false">J40*INDEX(SUPPLIERS!$E$3:$E$30,MATCH(C40,SUPPLIERS!$A$3:$A$30,0))</f>
        <v>0</v>
      </c>
      <c r="V40" s="5" t="n">
        <v>0</v>
      </c>
      <c r="W40" s="5" t="n">
        <f aca="false">J40+S40+T40+U40+V40</f>
        <v>250217.468297018</v>
      </c>
      <c r="X40" s="9" t="n">
        <f aca="false">W40/J40-1</f>
        <v>0.000869873188070969</v>
      </c>
      <c r="Y40" s="6" t="n">
        <f aca="false">INDEX(DRIVERS!$B$32:$B$42,MATCH(B40,DRIVERS!$A$32:$A$42,0))</f>
        <v>0.1</v>
      </c>
      <c r="Z40" s="5" t="n">
        <f aca="false">W40*(1+Y40)</f>
        <v>275239.21512672</v>
      </c>
      <c r="AA40" s="5" t="n">
        <f aca="false">W40*(1+Y40+DRIVERS!$B$26)*(1+DRIVERS!$B$27)</f>
        <v>322280.099166559</v>
      </c>
      <c r="AB40" s="2" t="s">
        <v>205</v>
      </c>
      <c r="AC40" s="8"/>
    </row>
    <row r="41" customFormat="false" ht="15" hidden="false" customHeight="false" outlineLevel="0" collapsed="false">
      <c r="A41" s="2" t="s">
        <v>329</v>
      </c>
      <c r="B41" s="2" t="s">
        <v>235</v>
      </c>
      <c r="C41" s="2" t="s">
        <v>90</v>
      </c>
      <c r="D41" s="2" t="s">
        <v>330</v>
      </c>
      <c r="E41" s="2" t="s">
        <v>331</v>
      </c>
      <c r="F41" s="2" t="s">
        <v>186</v>
      </c>
      <c r="G41" s="2" t="s">
        <v>186</v>
      </c>
      <c r="H41" s="5" t="n">
        <v>217000</v>
      </c>
      <c r="I41" s="6" t="n">
        <f aca="false">INDEX(SUPPLIERS!$D$3:$D$30,MATCH(C41,SUPPLIERS!$A$3:$A$30,0))</f>
        <v>0</v>
      </c>
      <c r="J41" s="5" t="n">
        <f aca="false">H41*(1-I41)</f>
        <v>217000</v>
      </c>
      <c r="K41" s="2" t="n">
        <v>110</v>
      </c>
      <c r="L41" s="2" t="s">
        <v>238</v>
      </c>
      <c r="M41" s="5" t="n">
        <f aca="false">IF(K41="","",J41/K41)</f>
        <v>1972.72727272727</v>
      </c>
      <c r="N41" s="2" t="n">
        <v>100</v>
      </c>
      <c r="O41" s="13" t="n">
        <v>0.288</v>
      </c>
      <c r="P41" s="2" t="s">
        <v>310</v>
      </c>
      <c r="Q41" s="14" t="n">
        <f aca="false">MAX(N41/DRIVERS!$B$5,O41/DRIVERS!$B$6)</f>
        <v>0.0333333333333333</v>
      </c>
      <c r="R41" s="15" t="n">
        <f aca="false">ROUNDDOWN(1/Q41,0)</f>
        <v>30</v>
      </c>
      <c r="S41" s="5" t="n">
        <f aca="false">DRIVERS!$B$23*Q41/DRIVERS!$B$24</f>
        <v>173.030860928639</v>
      </c>
      <c r="T41" s="5" t="n">
        <f aca="false">J41*INDEX(DRIVERS!$C$32:$C$42,MATCH(B41,DRIVERS!$A$32:$A$42,0))</f>
        <v>0</v>
      </c>
      <c r="U41" s="5" t="n">
        <f aca="false">J41*INDEX(SUPPLIERS!$E$3:$E$30,MATCH(C41,SUPPLIERS!$A$3:$A$30,0))</f>
        <v>0</v>
      </c>
      <c r="V41" s="5" t="n">
        <v>0</v>
      </c>
      <c r="W41" s="5" t="n">
        <f aca="false">J41+S41+T41+U41+V41</f>
        <v>217173.030860929</v>
      </c>
      <c r="X41" s="9" t="n">
        <f aca="false">W41/J41-1</f>
        <v>0.000797377239302399</v>
      </c>
      <c r="Y41" s="6" t="n">
        <f aca="false">INDEX(DRIVERS!$B$32:$B$42,MATCH(B41,DRIVERS!$A$32:$A$42,0))</f>
        <v>0.1</v>
      </c>
      <c r="Z41" s="5" t="n">
        <f aca="false">W41*(1+Y41)</f>
        <v>238890.333947022</v>
      </c>
      <c r="AA41" s="5" t="n">
        <f aca="false">W41*(1+Y41+DRIVERS!$B$26)*(1+DRIVERS!$B$27)</f>
        <v>279718.863748876</v>
      </c>
      <c r="AB41" s="2" t="s">
        <v>205</v>
      </c>
      <c r="AC41" s="8"/>
    </row>
    <row r="42" customFormat="false" ht="15" hidden="false" customHeight="false" outlineLevel="0" collapsed="false">
      <c r="A42" s="2" t="s">
        <v>332</v>
      </c>
      <c r="B42" s="2" t="s">
        <v>235</v>
      </c>
      <c r="C42" s="2" t="s">
        <v>90</v>
      </c>
      <c r="D42" s="2" t="s">
        <v>333</v>
      </c>
      <c r="E42" s="2" t="s">
        <v>334</v>
      </c>
      <c r="F42" s="2" t="s">
        <v>186</v>
      </c>
      <c r="G42" s="2" t="s">
        <v>186</v>
      </c>
      <c r="H42" s="5" t="n">
        <v>253000</v>
      </c>
      <c r="I42" s="6" t="n">
        <f aca="false">INDEX(SUPPLIERS!$D$3:$D$30,MATCH(C42,SUPPLIERS!$A$3:$A$30,0))</f>
        <v>0</v>
      </c>
      <c r="J42" s="5" t="n">
        <f aca="false">H42*(1-I42)</f>
        <v>253000</v>
      </c>
      <c r="K42" s="2" t="n">
        <v>125</v>
      </c>
      <c r="L42" s="2" t="s">
        <v>238</v>
      </c>
      <c r="M42" s="5" t="n">
        <f aca="false">IF(K42="","",J42/K42)</f>
        <v>2024</v>
      </c>
      <c r="N42" s="2" t="n">
        <v>118</v>
      </c>
      <c r="O42" s="13" t="n">
        <v>0.432</v>
      </c>
      <c r="P42" s="2" t="s">
        <v>310</v>
      </c>
      <c r="Q42" s="14" t="n">
        <f aca="false">MAX(N42/DRIVERS!$B$5,O42/DRIVERS!$B$6)</f>
        <v>0.0393333333333333</v>
      </c>
      <c r="R42" s="15" t="n">
        <f aca="false">ROUNDDOWN(1/Q42,0)</f>
        <v>25</v>
      </c>
      <c r="S42" s="5" t="n">
        <f aca="false">DRIVERS!$B$23*Q42/DRIVERS!$B$24</f>
        <v>204.176415895794</v>
      </c>
      <c r="T42" s="5" t="n">
        <f aca="false">J42*INDEX(DRIVERS!$C$32:$C$42,MATCH(B42,DRIVERS!$A$32:$A$42,0))</f>
        <v>0</v>
      </c>
      <c r="U42" s="5" t="n">
        <f aca="false">J42*INDEX(SUPPLIERS!$E$3:$E$30,MATCH(C42,SUPPLIERS!$A$3:$A$30,0))</f>
        <v>0</v>
      </c>
      <c r="V42" s="5" t="n">
        <v>0</v>
      </c>
      <c r="W42" s="5" t="n">
        <f aca="false">J42+S42+T42+U42+V42</f>
        <v>253204.176415896</v>
      </c>
      <c r="X42" s="9" t="n">
        <f aca="false">W42/J42-1</f>
        <v>0.000807021406702635</v>
      </c>
      <c r="Y42" s="6" t="n">
        <f aca="false">INDEX(DRIVERS!$B$32:$B$42,MATCH(B42,DRIVERS!$A$32:$A$42,0))</f>
        <v>0.1</v>
      </c>
      <c r="Z42" s="5" t="n">
        <f aca="false">W42*(1+Y42)</f>
        <v>278524.594057485</v>
      </c>
      <c r="AA42" s="5" t="n">
        <f aca="false">W42*(1+Y42+DRIVERS!$B$26)*(1+DRIVERS!$B$27)</f>
        <v>326126.979223674</v>
      </c>
      <c r="AB42" s="2" t="s">
        <v>205</v>
      </c>
      <c r="AC42" s="8"/>
    </row>
    <row r="43" customFormat="false" ht="15" hidden="false" customHeight="false" outlineLevel="0" collapsed="false">
      <c r="A43" s="2" t="s">
        <v>335</v>
      </c>
      <c r="B43" s="2" t="s">
        <v>235</v>
      </c>
      <c r="C43" s="2" t="s">
        <v>90</v>
      </c>
      <c r="D43" s="2" t="s">
        <v>336</v>
      </c>
      <c r="E43" s="2" t="s">
        <v>337</v>
      </c>
      <c r="F43" s="2" t="s">
        <v>186</v>
      </c>
      <c r="G43" s="2" t="s">
        <v>186</v>
      </c>
      <c r="H43" s="5" t="n">
        <v>229000</v>
      </c>
      <c r="I43" s="6" t="n">
        <f aca="false">INDEX(SUPPLIERS!$D$3:$D$30,MATCH(C43,SUPPLIERS!$A$3:$A$30,0))</f>
        <v>0</v>
      </c>
      <c r="J43" s="5" t="n">
        <f aca="false">H43*(1-I43)</f>
        <v>229000</v>
      </c>
      <c r="K43" s="2" t="n">
        <v>100</v>
      </c>
      <c r="L43" s="2" t="s">
        <v>238</v>
      </c>
      <c r="M43" s="5" t="n">
        <f aca="false">IF(K43="","",J43/K43)</f>
        <v>2290</v>
      </c>
      <c r="N43" s="2" t="n">
        <v>100</v>
      </c>
      <c r="O43" s="13" t="n">
        <v>0.45</v>
      </c>
      <c r="P43" s="2" t="s">
        <v>310</v>
      </c>
      <c r="Q43" s="14" t="n">
        <f aca="false">MAX(N43/DRIVERS!$B$5,O43/DRIVERS!$B$6)</f>
        <v>0.0333333333333333</v>
      </c>
      <c r="R43" s="15" t="n">
        <f aca="false">ROUNDDOWN(1/Q43,0)</f>
        <v>30</v>
      </c>
      <c r="S43" s="5" t="n">
        <f aca="false">DRIVERS!$B$23*Q43/DRIVERS!$B$24</f>
        <v>173.030860928639</v>
      </c>
      <c r="T43" s="5" t="n">
        <f aca="false">J43*INDEX(DRIVERS!$C$32:$C$42,MATCH(B43,DRIVERS!$A$32:$A$42,0))</f>
        <v>0</v>
      </c>
      <c r="U43" s="5" t="n">
        <f aca="false">J43*INDEX(SUPPLIERS!$E$3:$E$30,MATCH(C43,SUPPLIERS!$A$3:$A$30,0))</f>
        <v>0</v>
      </c>
      <c r="V43" s="5" t="n">
        <v>0</v>
      </c>
      <c r="W43" s="5" t="n">
        <f aca="false">J43+S43+T43+U43+V43</f>
        <v>229173.030860929</v>
      </c>
      <c r="X43" s="9" t="n">
        <f aca="false">W43/J43-1</f>
        <v>0.000755593279164302</v>
      </c>
      <c r="Y43" s="6" t="n">
        <f aca="false">INDEX(DRIVERS!$B$32:$B$42,MATCH(B43,DRIVERS!$A$32:$A$42,0))</f>
        <v>0.1</v>
      </c>
      <c r="Z43" s="5" t="n">
        <f aca="false">W43*(1+Y43)</f>
        <v>252090.333947022</v>
      </c>
      <c r="AA43" s="5" t="n">
        <f aca="false">W43*(1+Y43+DRIVERS!$B$26)*(1+DRIVERS!$B$27)</f>
        <v>295174.863748876</v>
      </c>
      <c r="AB43" s="2" t="s">
        <v>205</v>
      </c>
      <c r="AC43" s="8"/>
    </row>
    <row r="44" customFormat="false" ht="15" hidden="false" customHeight="false" outlineLevel="0" collapsed="false">
      <c r="A44" s="2" t="s">
        <v>338</v>
      </c>
      <c r="B44" s="2" t="s">
        <v>235</v>
      </c>
      <c r="C44" s="2" t="s">
        <v>90</v>
      </c>
      <c r="D44" s="2" t="s">
        <v>339</v>
      </c>
      <c r="E44" s="2" t="s">
        <v>340</v>
      </c>
      <c r="F44" s="2" t="s">
        <v>186</v>
      </c>
      <c r="G44" s="2" t="s">
        <v>186</v>
      </c>
      <c r="H44" s="5" t="n">
        <v>149000</v>
      </c>
      <c r="I44" s="6" t="n">
        <f aca="false">INDEX(SUPPLIERS!$D$3:$D$30,MATCH(C44,SUPPLIERS!$A$3:$A$30,0))</f>
        <v>0</v>
      </c>
      <c r="J44" s="5" t="n">
        <f aca="false">H44*(1-I44)</f>
        <v>149000</v>
      </c>
      <c r="K44" s="2" t="n">
        <v>60</v>
      </c>
      <c r="L44" s="2" t="s">
        <v>238</v>
      </c>
      <c r="M44" s="5" t="n">
        <f aca="false">IF(K44="","",J44/K44)</f>
        <v>2483.33333333333</v>
      </c>
      <c r="N44" s="2" t="n">
        <v>63</v>
      </c>
      <c r="O44" s="13" t="n">
        <v>0.2448</v>
      </c>
      <c r="P44" s="2" t="s">
        <v>310</v>
      </c>
      <c r="Q44" s="14" t="n">
        <f aca="false">MAX(N44/DRIVERS!$B$5,O44/DRIVERS!$B$6)</f>
        <v>0.021</v>
      </c>
      <c r="R44" s="15" t="n">
        <f aca="false">ROUNDDOWN(1/Q44,0)</f>
        <v>47</v>
      </c>
      <c r="S44" s="5" t="n">
        <f aca="false">DRIVERS!$B$23*Q44/DRIVERS!$B$24</f>
        <v>109.009442385043</v>
      </c>
      <c r="T44" s="5" t="n">
        <f aca="false">J44*INDEX(DRIVERS!$C$32:$C$42,MATCH(B44,DRIVERS!$A$32:$A$42,0))</f>
        <v>0</v>
      </c>
      <c r="U44" s="5" t="n">
        <f aca="false">J44*INDEX(SUPPLIERS!$E$3:$E$30,MATCH(C44,SUPPLIERS!$A$3:$A$30,0))</f>
        <v>0</v>
      </c>
      <c r="V44" s="5" t="n">
        <v>0</v>
      </c>
      <c r="W44" s="5" t="n">
        <f aca="false">J44+S44+T44+U44+V44</f>
        <v>149109.009442385</v>
      </c>
      <c r="X44" s="9" t="n">
        <f aca="false">W44/J44-1</f>
        <v>0.000731606995872935</v>
      </c>
      <c r="Y44" s="6" t="n">
        <f aca="false">INDEX(DRIVERS!$B$32:$B$42,MATCH(B44,DRIVERS!$A$32:$A$42,0))</f>
        <v>0.1</v>
      </c>
      <c r="Z44" s="5" t="n">
        <f aca="false">W44*(1+Y44)</f>
        <v>164019.910386624</v>
      </c>
      <c r="AA44" s="5" t="n">
        <f aca="false">W44*(1+Y44+DRIVERS!$B$26)*(1+DRIVERS!$B$27)</f>
        <v>192052.404161792</v>
      </c>
      <c r="AB44" s="2" t="s">
        <v>205</v>
      </c>
      <c r="AC44" s="8"/>
    </row>
    <row r="45" customFormat="false" ht="15" hidden="false" customHeight="false" outlineLevel="0" collapsed="false">
      <c r="A45" s="2" t="s">
        <v>341</v>
      </c>
      <c r="B45" s="2" t="s">
        <v>235</v>
      </c>
      <c r="C45" s="2" t="s">
        <v>90</v>
      </c>
      <c r="D45" s="2" t="s">
        <v>342</v>
      </c>
      <c r="E45" s="2" t="s">
        <v>343</v>
      </c>
      <c r="F45" s="2" t="s">
        <v>186</v>
      </c>
      <c r="G45" s="2" t="s">
        <v>186</v>
      </c>
      <c r="H45" s="5" t="n">
        <v>138000</v>
      </c>
      <c r="I45" s="6" t="n">
        <f aca="false">INDEX(SUPPLIERS!$D$3:$D$30,MATCH(C45,SUPPLIERS!$A$3:$A$30,0))</f>
        <v>0</v>
      </c>
      <c r="J45" s="5" t="n">
        <f aca="false">H45*(1-I45)</f>
        <v>138000</v>
      </c>
      <c r="K45" s="2" t="n">
        <v>50</v>
      </c>
      <c r="L45" s="2" t="s">
        <v>238</v>
      </c>
      <c r="M45" s="5" t="n">
        <f aca="false">IF(K45="","",J45/K45)</f>
        <v>2760</v>
      </c>
      <c r="N45" s="2" t="n">
        <v>48</v>
      </c>
      <c r="O45" s="13" t="n">
        <v>0.1971</v>
      </c>
      <c r="P45" s="2" t="s">
        <v>310</v>
      </c>
      <c r="Q45" s="14" t="n">
        <f aca="false">MAX(N45/DRIVERS!$B$5,O45/DRIVERS!$B$6)</f>
        <v>0.016</v>
      </c>
      <c r="R45" s="15" t="n">
        <f aca="false">ROUNDDOWN(1/Q45,0)</f>
        <v>62</v>
      </c>
      <c r="S45" s="5" t="n">
        <f aca="false">DRIVERS!$B$23*Q45/DRIVERS!$B$24</f>
        <v>83.0548132457469</v>
      </c>
      <c r="T45" s="5" t="n">
        <f aca="false">J45*INDEX(DRIVERS!$C$32:$C$42,MATCH(B45,DRIVERS!$A$32:$A$42,0))</f>
        <v>0</v>
      </c>
      <c r="U45" s="5" t="n">
        <f aca="false">J45*INDEX(SUPPLIERS!$E$3:$E$30,MATCH(C45,SUPPLIERS!$A$3:$A$30,0))</f>
        <v>0</v>
      </c>
      <c r="V45" s="5" t="n">
        <v>0</v>
      </c>
      <c r="W45" s="5" t="n">
        <f aca="false">J45+S45+T45+U45+V45</f>
        <v>138083.054813246</v>
      </c>
      <c r="X45" s="9" t="n">
        <f aca="false">W45/J45-1</f>
        <v>0.000601846472795264</v>
      </c>
      <c r="Y45" s="6" t="n">
        <f aca="false">INDEX(DRIVERS!$B$32:$B$42,MATCH(B45,DRIVERS!$A$32:$A$42,0))</f>
        <v>0.1</v>
      </c>
      <c r="Z45" s="5" t="n">
        <f aca="false">W45*(1+Y45)</f>
        <v>151891.36029457</v>
      </c>
      <c r="AA45" s="5" t="n">
        <f aca="false">W45*(1+Y45+DRIVERS!$B$26)*(1+DRIVERS!$B$27)</f>
        <v>177850.974599461</v>
      </c>
      <c r="AB45" s="2" t="s">
        <v>205</v>
      </c>
      <c r="AC45" s="8"/>
    </row>
    <row r="46" customFormat="false" ht="15" hidden="false" customHeight="false" outlineLevel="0" collapsed="false">
      <c r="A46" s="2" t="s">
        <v>344</v>
      </c>
      <c r="B46" s="2" t="s">
        <v>235</v>
      </c>
      <c r="C46" s="2" t="s">
        <v>90</v>
      </c>
      <c r="D46" s="2" t="s">
        <v>345</v>
      </c>
      <c r="E46" s="2" t="s">
        <v>346</v>
      </c>
      <c r="F46" s="2" t="s">
        <v>186</v>
      </c>
      <c r="G46" s="2" t="s">
        <v>186</v>
      </c>
      <c r="H46" s="5" t="n">
        <v>290000</v>
      </c>
      <c r="I46" s="6" t="n">
        <f aca="false">INDEX(SUPPLIERS!$D$3:$D$30,MATCH(C46,SUPPLIERS!$A$3:$A$30,0))</f>
        <v>0</v>
      </c>
      <c r="J46" s="5" t="n">
        <f aca="false">H46*(1-I46)</f>
        <v>290000</v>
      </c>
      <c r="K46" s="2" t="n">
        <v>100</v>
      </c>
      <c r="L46" s="2" t="s">
        <v>238</v>
      </c>
      <c r="M46" s="5" t="n">
        <f aca="false">IF(K46="","",J46/K46)</f>
        <v>2900</v>
      </c>
      <c r="N46" s="2" t="n">
        <v>118</v>
      </c>
      <c r="O46" s="13" t="n">
        <v>0.58604</v>
      </c>
      <c r="P46" s="2" t="s">
        <v>310</v>
      </c>
      <c r="Q46" s="14" t="n">
        <f aca="false">MAX(N46/DRIVERS!$B$5,O46/DRIVERS!$B$6)</f>
        <v>0.0410560539959246</v>
      </c>
      <c r="R46" s="15" t="n">
        <f aca="false">ROUNDDOWN(1/Q46,0)</f>
        <v>24</v>
      </c>
      <c r="S46" s="5" t="n">
        <f aca="false">DRIVERS!$B$23*Q46/DRIVERS!$B$24</f>
        <v>213.118931077426</v>
      </c>
      <c r="T46" s="5" t="n">
        <f aca="false">J46*INDEX(DRIVERS!$C$32:$C$42,MATCH(B46,DRIVERS!$A$32:$A$42,0))</f>
        <v>0</v>
      </c>
      <c r="U46" s="5" t="n">
        <f aca="false">J46*INDEX(SUPPLIERS!$E$3:$E$30,MATCH(C46,SUPPLIERS!$A$3:$A$30,0))</f>
        <v>0</v>
      </c>
      <c r="V46" s="5" t="n">
        <v>0</v>
      </c>
      <c r="W46" s="5" t="n">
        <f aca="false">J46+S46+T46+U46+V46</f>
        <v>290213.118931077</v>
      </c>
      <c r="X46" s="9" t="n">
        <f aca="false">W46/J46-1</f>
        <v>0.000734892865784209</v>
      </c>
      <c r="Y46" s="6" t="n">
        <f aca="false">INDEX(DRIVERS!$B$32:$B$42,MATCH(B46,DRIVERS!$A$32:$A$42,0))</f>
        <v>0.1</v>
      </c>
      <c r="Z46" s="5" t="n">
        <f aca="false">W46*(1+Y46)</f>
        <v>319234.430824185</v>
      </c>
      <c r="AA46" s="5" t="n">
        <f aca="false">W46*(1+Y46+DRIVERS!$B$26)*(1+DRIVERS!$B$27)</f>
        <v>373794.497183228</v>
      </c>
      <c r="AB46" s="2" t="s">
        <v>205</v>
      </c>
      <c r="AC46" s="8"/>
    </row>
    <row r="47" customFormat="false" ht="15" hidden="false" customHeight="false" outlineLevel="0" collapsed="false">
      <c r="A47" s="2" t="s">
        <v>347</v>
      </c>
      <c r="B47" s="2" t="s">
        <v>235</v>
      </c>
      <c r="C47" s="2" t="s">
        <v>90</v>
      </c>
      <c r="D47" s="2" t="s">
        <v>348</v>
      </c>
      <c r="E47" s="2" t="s">
        <v>349</v>
      </c>
      <c r="F47" s="2" t="s">
        <v>186</v>
      </c>
      <c r="G47" s="2" t="s">
        <v>186</v>
      </c>
      <c r="H47" s="5" t="n">
        <v>237000</v>
      </c>
      <c r="I47" s="6" t="n">
        <f aca="false">INDEX(SUPPLIERS!$D$3:$D$30,MATCH(C47,SUPPLIERS!$A$3:$A$30,0))</f>
        <v>0</v>
      </c>
      <c r="J47" s="5" t="n">
        <f aca="false">H47*(1-I47)</f>
        <v>237000</v>
      </c>
      <c r="K47" s="2" t="n">
        <v>75</v>
      </c>
      <c r="L47" s="2" t="s">
        <v>238</v>
      </c>
      <c r="M47" s="5" t="n">
        <f aca="false">IF(K47="","",J47/K47)</f>
        <v>3160</v>
      </c>
      <c r="N47" s="2" t="n">
        <v>125</v>
      </c>
      <c r="O47" s="13" t="n">
        <v>0.50625</v>
      </c>
      <c r="P47" s="2" t="s">
        <v>310</v>
      </c>
      <c r="Q47" s="14" t="n">
        <f aca="false">MAX(N47/DRIVERS!$B$5,O47/DRIVERS!$B$6)</f>
        <v>0.0416666666666667</v>
      </c>
      <c r="R47" s="15" t="n">
        <f aca="false">ROUNDDOWN(1/Q47,0)</f>
        <v>24</v>
      </c>
      <c r="S47" s="5" t="n">
        <f aca="false">DRIVERS!$B$23*Q47/DRIVERS!$B$24</f>
        <v>216.288576160799</v>
      </c>
      <c r="T47" s="5" t="n">
        <f aca="false">J47*INDEX(DRIVERS!$C$32:$C$42,MATCH(B47,DRIVERS!$A$32:$A$42,0))</f>
        <v>0</v>
      </c>
      <c r="U47" s="5" t="n">
        <f aca="false">J47*INDEX(SUPPLIERS!$E$3:$E$30,MATCH(C47,SUPPLIERS!$A$3:$A$30,0))</f>
        <v>0</v>
      </c>
      <c r="V47" s="5" t="n">
        <v>0</v>
      </c>
      <c r="W47" s="5" t="n">
        <f aca="false">J47+S47+T47+U47+V47</f>
        <v>237216.288576161</v>
      </c>
      <c r="X47" s="9" t="n">
        <f aca="false">W47/J47-1</f>
        <v>0.000912610025994853</v>
      </c>
      <c r="Y47" s="6" t="n">
        <f aca="false">INDEX(DRIVERS!$B$32:$B$42,MATCH(B47,DRIVERS!$A$32:$A$42,0))</f>
        <v>0.1</v>
      </c>
      <c r="Z47" s="5" t="n">
        <f aca="false">W47*(1+Y47)</f>
        <v>260937.917433777</v>
      </c>
      <c r="AA47" s="5" t="n">
        <f aca="false">W47*(1+Y47+DRIVERS!$B$26)*(1+DRIVERS!$B$27)</f>
        <v>305534.579686095</v>
      </c>
      <c r="AB47" s="2" t="s">
        <v>205</v>
      </c>
      <c r="AC47" s="8"/>
    </row>
    <row r="48" customFormat="false" ht="15" hidden="false" customHeight="false" outlineLevel="0" collapsed="false">
      <c r="A48" s="2" t="s">
        <v>350</v>
      </c>
      <c r="B48" s="2" t="s">
        <v>235</v>
      </c>
      <c r="C48" s="2" t="s">
        <v>90</v>
      </c>
      <c r="D48" s="2" t="s">
        <v>351</v>
      </c>
      <c r="E48" s="2" t="s">
        <v>352</v>
      </c>
      <c r="F48" s="2" t="s">
        <v>186</v>
      </c>
      <c r="G48" s="2" t="s">
        <v>186</v>
      </c>
      <c r="H48" s="5" t="n">
        <v>217000</v>
      </c>
      <c r="I48" s="6" t="n">
        <f aca="false">INDEX(SUPPLIERS!$D$3:$D$30,MATCH(C48,SUPPLIERS!$A$3:$A$30,0))</f>
        <v>0</v>
      </c>
      <c r="J48" s="5" t="n">
        <f aca="false">H48*(1-I48)</f>
        <v>217000</v>
      </c>
      <c r="K48" s="2" t="n">
        <v>60</v>
      </c>
      <c r="L48" s="2" t="s">
        <v>238</v>
      </c>
      <c r="M48" s="5" t="n">
        <f aca="false">IF(K48="","",J48/K48)</f>
        <v>3616.66666666667</v>
      </c>
      <c r="N48" s="2" t="n">
        <v>105</v>
      </c>
      <c r="O48" s="13" t="n">
        <v>0.45</v>
      </c>
      <c r="P48" s="2" t="s">
        <v>310</v>
      </c>
      <c r="Q48" s="14" t="n">
        <f aca="false">MAX(N48/DRIVERS!$B$5,O48/DRIVERS!$B$6)</f>
        <v>0.035</v>
      </c>
      <c r="R48" s="15" t="n">
        <f aca="false">ROUNDDOWN(1/Q48,0)</f>
        <v>28</v>
      </c>
      <c r="S48" s="5" t="n">
        <f aca="false">DRIVERS!$B$23*Q48/DRIVERS!$B$24</f>
        <v>181.682403975071</v>
      </c>
      <c r="T48" s="5" t="n">
        <f aca="false">J48*INDEX(DRIVERS!$C$32:$C$42,MATCH(B48,DRIVERS!$A$32:$A$42,0))</f>
        <v>0</v>
      </c>
      <c r="U48" s="5" t="n">
        <f aca="false">J48*INDEX(SUPPLIERS!$E$3:$E$30,MATCH(C48,SUPPLIERS!$A$3:$A$30,0))</f>
        <v>0</v>
      </c>
      <c r="V48" s="5" t="n">
        <v>0</v>
      </c>
      <c r="W48" s="5" t="n">
        <f aca="false">J48+S48+T48+U48+V48</f>
        <v>217181.682403975</v>
      </c>
      <c r="X48" s="9" t="n">
        <f aca="false">W48/J48-1</f>
        <v>0.000837246101267564</v>
      </c>
      <c r="Y48" s="6" t="n">
        <f aca="false">INDEX(DRIVERS!$B$32:$B$42,MATCH(B48,DRIVERS!$A$32:$A$42,0))</f>
        <v>0.1</v>
      </c>
      <c r="Z48" s="5" t="n">
        <f aca="false">W48*(1+Y48)</f>
        <v>238899.850644373</v>
      </c>
      <c r="AA48" s="5" t="n">
        <f aca="false">W48*(1+Y48+DRIVERS!$B$26)*(1+DRIVERS!$B$27)</f>
        <v>279730.00693632</v>
      </c>
      <c r="AB48" s="2" t="s">
        <v>205</v>
      </c>
      <c r="AC48" s="8"/>
    </row>
    <row r="49" customFormat="false" ht="15" hidden="false" customHeight="false" outlineLevel="0" collapsed="false">
      <c r="A49" s="2" t="s">
        <v>353</v>
      </c>
      <c r="B49" s="2" t="s">
        <v>235</v>
      </c>
      <c r="C49" s="2" t="s">
        <v>90</v>
      </c>
      <c r="D49" s="2" t="s">
        <v>354</v>
      </c>
      <c r="E49" s="2" t="s">
        <v>355</v>
      </c>
      <c r="F49" s="2" t="s">
        <v>186</v>
      </c>
      <c r="G49" s="2" t="s">
        <v>186</v>
      </c>
      <c r="H49" s="5" t="n">
        <v>210000</v>
      </c>
      <c r="I49" s="6" t="n">
        <f aca="false">INDEX(SUPPLIERS!$D$3:$D$30,MATCH(C49,SUPPLIERS!$A$3:$A$30,0))</f>
        <v>0</v>
      </c>
      <c r="J49" s="5" t="n">
        <f aca="false">H49*(1-I49)</f>
        <v>210000</v>
      </c>
      <c r="K49" s="2" t="n">
        <v>50</v>
      </c>
      <c r="L49" s="2" t="s">
        <v>238</v>
      </c>
      <c r="M49" s="5" t="n">
        <f aca="false">IF(K49="","",J49/K49)</f>
        <v>4200</v>
      </c>
      <c r="N49" s="2" t="n">
        <v>110</v>
      </c>
      <c r="O49" s="13" t="n">
        <v>0.51562</v>
      </c>
      <c r="P49" s="2" t="s">
        <v>310</v>
      </c>
      <c r="Q49" s="14" t="n">
        <f aca="false">MAX(N49/DRIVERS!$B$5,O49/DRIVERS!$B$6)</f>
        <v>0.0366666666666667</v>
      </c>
      <c r="R49" s="15" t="n">
        <f aca="false">ROUNDDOWN(1/Q49,0)</f>
        <v>27</v>
      </c>
      <c r="S49" s="5" t="n">
        <f aca="false">DRIVERS!$B$23*Q49/DRIVERS!$B$24</f>
        <v>190.333947021503</v>
      </c>
      <c r="T49" s="5" t="n">
        <f aca="false">J49*INDEX(DRIVERS!$C$32:$C$42,MATCH(B49,DRIVERS!$A$32:$A$42,0))</f>
        <v>0</v>
      </c>
      <c r="U49" s="5" t="n">
        <f aca="false">J49*INDEX(SUPPLIERS!$E$3:$E$30,MATCH(C49,SUPPLIERS!$A$3:$A$30,0))</f>
        <v>0</v>
      </c>
      <c r="V49" s="5" t="n">
        <v>0</v>
      </c>
      <c r="W49" s="5" t="n">
        <f aca="false">J49+S49+T49+U49+V49</f>
        <v>210190.333947022</v>
      </c>
      <c r="X49" s="9" t="n">
        <f aca="false">W49/J49-1</f>
        <v>0.000906352128673849</v>
      </c>
      <c r="Y49" s="6" t="n">
        <f aca="false">INDEX(DRIVERS!$B$32:$B$42,MATCH(B49,DRIVERS!$A$32:$A$42,0))</f>
        <v>0.1</v>
      </c>
      <c r="Z49" s="5" t="n">
        <f aca="false">W49*(1+Y49)</f>
        <v>231209.367341724</v>
      </c>
      <c r="AA49" s="5" t="n">
        <f aca="false">W49*(1+Y49+DRIVERS!$B$26)*(1+DRIVERS!$B$27)</f>
        <v>270725.150123764</v>
      </c>
      <c r="AB49" s="2" t="s">
        <v>205</v>
      </c>
      <c r="AC49" s="8"/>
    </row>
    <row r="50" customFormat="false" ht="15" hidden="false" customHeight="false" outlineLevel="0" collapsed="false">
      <c r="A50" s="2" t="s">
        <v>356</v>
      </c>
      <c r="B50" s="2" t="s">
        <v>235</v>
      </c>
      <c r="C50" s="2" t="s">
        <v>90</v>
      </c>
      <c r="D50" s="2" t="s">
        <v>357</v>
      </c>
      <c r="E50" s="2" t="s">
        <v>358</v>
      </c>
      <c r="F50" s="2" t="s">
        <v>186</v>
      </c>
      <c r="G50" s="2" t="s">
        <v>186</v>
      </c>
      <c r="H50" s="5" t="n">
        <v>141000</v>
      </c>
      <c r="I50" s="6" t="n">
        <f aca="false">INDEX(SUPPLIERS!$D$3:$D$30,MATCH(C50,SUPPLIERS!$A$3:$A$30,0))</f>
        <v>0</v>
      </c>
      <c r="J50" s="5" t="n">
        <f aca="false">H50*(1-I50)</f>
        <v>141000</v>
      </c>
      <c r="K50" s="2" t="n">
        <v>30</v>
      </c>
      <c r="L50" s="2" t="s">
        <v>238</v>
      </c>
      <c r="M50" s="5" t="n">
        <f aca="false">IF(K50="","",J50/K50)</f>
        <v>4700</v>
      </c>
      <c r="N50" s="2" t="n">
        <v>68.5</v>
      </c>
      <c r="O50" s="13" t="n">
        <v>0.27536</v>
      </c>
      <c r="P50" s="2" t="s">
        <v>310</v>
      </c>
      <c r="Q50" s="14" t="n">
        <f aca="false">MAX(N50/DRIVERS!$B$5,O50/DRIVERS!$B$6)</f>
        <v>0.0228333333333333</v>
      </c>
      <c r="R50" s="15" t="n">
        <f aca="false">ROUNDDOWN(1/Q50,0)</f>
        <v>43</v>
      </c>
      <c r="S50" s="5" t="n">
        <f aca="false">DRIVERS!$B$23*Q50/DRIVERS!$B$24</f>
        <v>118.526139736118</v>
      </c>
      <c r="T50" s="5" t="n">
        <f aca="false">J50*INDEX(DRIVERS!$C$32:$C$42,MATCH(B50,DRIVERS!$A$32:$A$42,0))</f>
        <v>0</v>
      </c>
      <c r="U50" s="5" t="n">
        <f aca="false">J50*INDEX(SUPPLIERS!$E$3:$E$30,MATCH(C50,SUPPLIERS!$A$3:$A$30,0))</f>
        <v>0</v>
      </c>
      <c r="V50" s="5" t="n">
        <v>0</v>
      </c>
      <c r="W50" s="5" t="n">
        <f aca="false">J50+S50+T50+U50+V50</f>
        <v>141118.526139736</v>
      </c>
      <c r="X50" s="9" t="n">
        <f aca="false">W50/J50-1</f>
        <v>0.000840610920114226</v>
      </c>
      <c r="Y50" s="6" t="n">
        <f aca="false">INDEX(DRIVERS!$B$32:$B$42,MATCH(B50,DRIVERS!$A$32:$A$42,0))</f>
        <v>0.1</v>
      </c>
      <c r="Z50" s="5" t="n">
        <f aca="false">W50*(1+Y50)</f>
        <v>155230.37875371</v>
      </c>
      <c r="AA50" s="5" t="n">
        <f aca="false">W50*(1+Y50+DRIVERS!$B$26)*(1+DRIVERS!$B$27)</f>
        <v>181760.66166798</v>
      </c>
      <c r="AB50" s="2" t="s">
        <v>205</v>
      </c>
      <c r="AC50" s="8"/>
    </row>
    <row r="51" customFormat="false" ht="15" hidden="false" customHeight="false" outlineLevel="0" collapsed="false">
      <c r="A51" s="2" t="s">
        <v>359</v>
      </c>
      <c r="B51" s="2" t="s">
        <v>235</v>
      </c>
      <c r="C51" s="2" t="s">
        <v>90</v>
      </c>
      <c r="D51" s="2" t="s">
        <v>360</v>
      </c>
      <c r="E51" s="2" t="s">
        <v>361</v>
      </c>
      <c r="F51" s="2" t="s">
        <v>186</v>
      </c>
      <c r="G51" s="2" t="s">
        <v>186</v>
      </c>
      <c r="H51" s="5" t="n">
        <v>130000</v>
      </c>
      <c r="I51" s="6" t="n">
        <f aca="false">INDEX(SUPPLIERS!$D$3:$D$30,MATCH(C51,SUPPLIERS!$A$3:$A$30,0))</f>
        <v>0</v>
      </c>
      <c r="J51" s="5" t="n">
        <f aca="false">H51*(1-I51)</f>
        <v>130000</v>
      </c>
      <c r="K51" s="2" t="n">
        <v>25</v>
      </c>
      <c r="L51" s="2" t="s">
        <v>238</v>
      </c>
      <c r="M51" s="5" t="n">
        <f aca="false">IF(K51="","",J51/K51)</f>
        <v>5200</v>
      </c>
      <c r="N51" s="2" t="n">
        <v>52</v>
      </c>
      <c r="O51" s="13" t="n">
        <v>0.1998</v>
      </c>
      <c r="P51" s="2" t="s">
        <v>310</v>
      </c>
      <c r="Q51" s="14" t="n">
        <f aca="false">MAX(N51/DRIVERS!$B$5,O51/DRIVERS!$B$6)</f>
        <v>0.0173333333333333</v>
      </c>
      <c r="R51" s="15" t="n">
        <f aca="false">ROUNDDOWN(1/Q51,0)</f>
        <v>57</v>
      </c>
      <c r="S51" s="5" t="n">
        <f aca="false">DRIVERS!$B$23*Q51/DRIVERS!$B$24</f>
        <v>89.9760476828924</v>
      </c>
      <c r="T51" s="5" t="n">
        <f aca="false">J51*INDEX(DRIVERS!$C$32:$C$42,MATCH(B51,DRIVERS!$A$32:$A$42,0))</f>
        <v>0</v>
      </c>
      <c r="U51" s="5" t="n">
        <f aca="false">J51*INDEX(SUPPLIERS!$E$3:$E$30,MATCH(C51,SUPPLIERS!$A$3:$A$30,0))</f>
        <v>0</v>
      </c>
      <c r="V51" s="5" t="n">
        <v>0</v>
      </c>
      <c r="W51" s="5" t="n">
        <f aca="false">J51+S51+T51+U51+V51</f>
        <v>130089.976047683</v>
      </c>
      <c r="X51" s="9" t="n">
        <f aca="false">W51/J51-1</f>
        <v>0.000692123443714499</v>
      </c>
      <c r="Y51" s="6" t="n">
        <f aca="false">INDEX(DRIVERS!$B$32:$B$42,MATCH(B51,DRIVERS!$A$32:$A$42,0))</f>
        <v>0.1</v>
      </c>
      <c r="Z51" s="5" t="n">
        <f aca="false">W51*(1+Y51)</f>
        <v>143098.973652451</v>
      </c>
      <c r="AA51" s="5" t="n">
        <f aca="false">W51*(1+Y51+DRIVERS!$B$26)*(1+DRIVERS!$B$27)</f>
        <v>167555.889149416</v>
      </c>
      <c r="AB51" s="2" t="s">
        <v>205</v>
      </c>
      <c r="AC51" s="8"/>
    </row>
    <row r="52" customFormat="false" ht="15" hidden="false" customHeight="false" outlineLevel="0" collapsed="false">
      <c r="A52" s="2" t="s">
        <v>362</v>
      </c>
      <c r="B52" s="2" t="s">
        <v>235</v>
      </c>
      <c r="C52" s="2" t="s">
        <v>90</v>
      </c>
      <c r="D52" s="2" t="s">
        <v>363</v>
      </c>
      <c r="E52" s="2" t="s">
        <v>364</v>
      </c>
      <c r="F52" s="2" t="s">
        <v>186</v>
      </c>
      <c r="G52" s="2" t="s">
        <v>186</v>
      </c>
      <c r="H52" s="5" t="n">
        <v>118000</v>
      </c>
      <c r="I52" s="6" t="n">
        <f aca="false">INDEX(SUPPLIERS!$D$3:$D$30,MATCH(C52,SUPPLIERS!$A$3:$A$30,0))</f>
        <v>0</v>
      </c>
      <c r="J52" s="5" t="n">
        <f aca="false">H52*(1-I52)</f>
        <v>118000</v>
      </c>
      <c r="K52" s="2" t="n">
        <v>20</v>
      </c>
      <c r="L52" s="2" t="s">
        <v>238</v>
      </c>
      <c r="M52" s="5" t="n">
        <f aca="false">IF(K52="","",J52/K52)</f>
        <v>5900</v>
      </c>
      <c r="N52" s="2" t="n">
        <v>25</v>
      </c>
      <c r="O52" s="13" t="n">
        <v>0.09702</v>
      </c>
      <c r="P52" s="2" t="s">
        <v>310</v>
      </c>
      <c r="Q52" s="14" t="n">
        <f aca="false">MAX(N52/DRIVERS!$B$5,O52/DRIVERS!$B$6)</f>
        <v>0.00833333333333333</v>
      </c>
      <c r="R52" s="15" t="n">
        <f aca="false">ROUNDDOWN(1/Q52,0)</f>
        <v>120</v>
      </c>
      <c r="S52" s="5" t="n">
        <f aca="false">DRIVERS!$B$23*Q52/DRIVERS!$B$24</f>
        <v>43.2577152321598</v>
      </c>
      <c r="T52" s="5" t="n">
        <f aca="false">J52*INDEX(DRIVERS!$C$32:$C$42,MATCH(B52,DRIVERS!$A$32:$A$42,0))</f>
        <v>0</v>
      </c>
      <c r="U52" s="5" t="n">
        <f aca="false">J52*INDEX(SUPPLIERS!$E$3:$E$30,MATCH(C52,SUPPLIERS!$A$3:$A$30,0))</f>
        <v>0</v>
      </c>
      <c r="V52" s="5" t="n">
        <v>0</v>
      </c>
      <c r="W52" s="5" t="n">
        <f aca="false">J52+S52+T52+U52+V52</f>
        <v>118043.257715232</v>
      </c>
      <c r="X52" s="9" t="n">
        <f aca="false">W52/J52-1</f>
        <v>0.000366590807052258</v>
      </c>
      <c r="Y52" s="6" t="n">
        <f aca="false">INDEX(DRIVERS!$B$32:$B$42,MATCH(B52,DRIVERS!$A$32:$A$42,0))</f>
        <v>0.1</v>
      </c>
      <c r="Z52" s="5" t="n">
        <f aca="false">W52*(1+Y52)</f>
        <v>129847.583486755</v>
      </c>
      <c r="AA52" s="5" t="n">
        <f aca="false">W52*(1+Y52+DRIVERS!$B$26)*(1+DRIVERS!$B$27)</f>
        <v>152039.715937219</v>
      </c>
      <c r="AB52" s="2" t="s">
        <v>205</v>
      </c>
      <c r="AC52" s="8"/>
    </row>
    <row r="53" customFormat="false" ht="15" hidden="false" customHeight="false" outlineLevel="0" collapsed="false">
      <c r="A53" s="2" t="s">
        <v>365</v>
      </c>
      <c r="B53" s="2" t="s">
        <v>235</v>
      </c>
      <c r="C53" s="2" t="s">
        <v>90</v>
      </c>
      <c r="D53" s="2" t="s">
        <v>366</v>
      </c>
      <c r="E53" s="2" t="s">
        <v>367</v>
      </c>
      <c r="F53" s="2" t="s">
        <v>186</v>
      </c>
      <c r="G53" s="2" t="s">
        <v>186</v>
      </c>
      <c r="H53" s="5" t="n">
        <v>105000</v>
      </c>
      <c r="I53" s="6" t="n">
        <f aca="false">INDEX(SUPPLIERS!$D$3:$D$30,MATCH(C53,SUPPLIERS!$A$3:$A$30,0))</f>
        <v>0</v>
      </c>
      <c r="J53" s="5" t="n">
        <f aca="false">H53*(1-I53)</f>
        <v>105000</v>
      </c>
      <c r="K53" s="2" t="n">
        <v>15</v>
      </c>
      <c r="L53" s="2" t="s">
        <v>238</v>
      </c>
      <c r="M53" s="5" t="n">
        <f aca="false">IF(K53="","",J53/K53)</f>
        <v>7000</v>
      </c>
      <c r="N53" s="2" t="n">
        <v>44</v>
      </c>
      <c r="O53" s="13" t="n">
        <v>0.1971</v>
      </c>
      <c r="P53" s="2" t="s">
        <v>310</v>
      </c>
      <c r="Q53" s="14" t="n">
        <f aca="false">MAX(N53/DRIVERS!$B$5,O53/DRIVERS!$B$6)</f>
        <v>0.0146666666666667</v>
      </c>
      <c r="R53" s="15" t="n">
        <f aca="false">ROUNDDOWN(1/Q53,0)</f>
        <v>68</v>
      </c>
      <c r="S53" s="5" t="n">
        <f aca="false">DRIVERS!$B$23*Q53/DRIVERS!$B$24</f>
        <v>76.1335788086013</v>
      </c>
      <c r="T53" s="5" t="n">
        <f aca="false">J53*INDEX(DRIVERS!$C$32:$C$42,MATCH(B53,DRIVERS!$A$32:$A$42,0))</f>
        <v>0</v>
      </c>
      <c r="U53" s="5" t="n">
        <f aca="false">J53*INDEX(SUPPLIERS!$E$3:$E$30,MATCH(C53,SUPPLIERS!$A$3:$A$30,0))</f>
        <v>0</v>
      </c>
      <c r="V53" s="5" t="n">
        <v>0</v>
      </c>
      <c r="W53" s="5" t="n">
        <f aca="false">J53+S53+T53+U53+V53</f>
        <v>105076.133578809</v>
      </c>
      <c r="X53" s="9" t="n">
        <f aca="false">W53/J53-1</f>
        <v>0.000725081702938946</v>
      </c>
      <c r="Y53" s="6" t="n">
        <f aca="false">INDEX(DRIVERS!$B$32:$B$42,MATCH(B53,DRIVERS!$A$32:$A$42,0))</f>
        <v>0.1</v>
      </c>
      <c r="Z53" s="5" t="n">
        <f aca="false">W53*(1+Y53)</f>
        <v>115583.746936689</v>
      </c>
      <c r="AA53" s="5" t="n">
        <f aca="false">W53*(1+Y53+DRIVERS!$B$26)*(1+DRIVERS!$B$27)</f>
        <v>135338.060049506</v>
      </c>
      <c r="AB53" s="2" t="s">
        <v>205</v>
      </c>
      <c r="AC53" s="8"/>
    </row>
    <row r="54" customFormat="false" ht="15" hidden="false" customHeight="false" outlineLevel="0" collapsed="false">
      <c r="A54" s="2" t="s">
        <v>368</v>
      </c>
      <c r="B54" s="2" t="s">
        <v>235</v>
      </c>
      <c r="C54" s="2" t="s">
        <v>90</v>
      </c>
      <c r="D54" s="2" t="s">
        <v>369</v>
      </c>
      <c r="E54" s="2" t="s">
        <v>370</v>
      </c>
      <c r="F54" s="2" t="s">
        <v>186</v>
      </c>
      <c r="G54" s="2" t="s">
        <v>186</v>
      </c>
      <c r="H54" s="5" t="n">
        <v>71000</v>
      </c>
      <c r="I54" s="6" t="n">
        <f aca="false">INDEX(SUPPLIERS!$D$3:$D$30,MATCH(C54,SUPPLIERS!$A$3:$A$30,0))</f>
        <v>0</v>
      </c>
      <c r="J54" s="5" t="n">
        <f aca="false">H54*(1-I54)</f>
        <v>71000</v>
      </c>
      <c r="K54" s="2" t="n">
        <v>10</v>
      </c>
      <c r="L54" s="2" t="s">
        <v>238</v>
      </c>
      <c r="M54" s="5" t="n">
        <f aca="false">IF(K54="","",J54/K54)</f>
        <v>7100</v>
      </c>
      <c r="N54" s="2" t="n">
        <v>23.5</v>
      </c>
      <c r="O54" s="13" t="n">
        <v>0.09195</v>
      </c>
      <c r="P54" s="2" t="s">
        <v>310</v>
      </c>
      <c r="Q54" s="14" t="n">
        <f aca="false">MAX(N54/DRIVERS!$B$5,O54/DRIVERS!$B$6)</f>
        <v>0.00783333333333333</v>
      </c>
      <c r="R54" s="15" t="n">
        <f aca="false">ROUNDDOWN(1/Q54,0)</f>
        <v>127</v>
      </c>
      <c r="S54" s="5" t="n">
        <f aca="false">DRIVERS!$B$23*Q54/DRIVERS!$B$24</f>
        <v>40.6622523182302</v>
      </c>
      <c r="T54" s="5" t="n">
        <f aca="false">J54*INDEX(DRIVERS!$C$32:$C$42,MATCH(B54,DRIVERS!$A$32:$A$42,0))</f>
        <v>0</v>
      </c>
      <c r="U54" s="5" t="n">
        <f aca="false">J54*INDEX(SUPPLIERS!$E$3:$E$30,MATCH(C54,SUPPLIERS!$A$3:$A$30,0))</f>
        <v>0</v>
      </c>
      <c r="V54" s="5" t="n">
        <v>0</v>
      </c>
      <c r="W54" s="5" t="n">
        <f aca="false">J54+S54+T54+U54+V54</f>
        <v>71040.6622523182</v>
      </c>
      <c r="X54" s="9" t="n">
        <f aca="false">W54/J54-1</f>
        <v>0.000572707779129988</v>
      </c>
      <c r="Y54" s="6" t="n">
        <f aca="false">INDEX(DRIVERS!$B$32:$B$42,MATCH(B54,DRIVERS!$A$32:$A$42,0))</f>
        <v>0.1</v>
      </c>
      <c r="Z54" s="5" t="n">
        <f aca="false">W54*(1+Y54)</f>
        <v>78144.7284775501</v>
      </c>
      <c r="AA54" s="5" t="n">
        <f aca="false">W54*(1+Y54+DRIVERS!$B$26)*(1+DRIVERS!$B$27)</f>
        <v>91500.3729809859</v>
      </c>
      <c r="AB54" s="2" t="s">
        <v>205</v>
      </c>
      <c r="AC54" s="8"/>
    </row>
    <row r="55" customFormat="false" ht="15" hidden="false" customHeight="false" outlineLevel="0" collapsed="false">
      <c r="A55" s="2" t="s">
        <v>371</v>
      </c>
      <c r="B55" s="2" t="s">
        <v>235</v>
      </c>
      <c r="C55" s="2" t="s">
        <v>90</v>
      </c>
      <c r="D55" s="2" t="s">
        <v>372</v>
      </c>
      <c r="E55" s="2" t="s">
        <v>373</v>
      </c>
      <c r="F55" s="2" t="s">
        <v>186</v>
      </c>
      <c r="G55" s="2" t="s">
        <v>186</v>
      </c>
      <c r="H55" s="5" t="n">
        <v>68000</v>
      </c>
      <c r="I55" s="6" t="n">
        <f aca="false">INDEX(SUPPLIERS!$D$3:$D$30,MATCH(C55,SUPPLIERS!$A$3:$A$30,0))</f>
        <v>0</v>
      </c>
      <c r="J55" s="5" t="n">
        <f aca="false">H55*(1-I55)</f>
        <v>68000</v>
      </c>
      <c r="K55" s="2" t="n">
        <v>10</v>
      </c>
      <c r="L55" s="2" t="s">
        <v>238</v>
      </c>
      <c r="M55" s="5" t="n">
        <f aca="false">IF(K55="","",J55/K55)</f>
        <v>6800</v>
      </c>
      <c r="N55" s="2" t="n">
        <v>33</v>
      </c>
      <c r="O55" s="13" t="n">
        <v>0.1295</v>
      </c>
      <c r="P55" s="2" t="s">
        <v>310</v>
      </c>
      <c r="Q55" s="14" t="n">
        <f aca="false">MAX(N55/DRIVERS!$B$5,O55/DRIVERS!$B$6)</f>
        <v>0.011</v>
      </c>
      <c r="R55" s="15" t="n">
        <f aca="false">ROUNDDOWN(1/Q55,0)</f>
        <v>90</v>
      </c>
      <c r="S55" s="5" t="n">
        <f aca="false">DRIVERS!$B$23*Q55/DRIVERS!$B$24</f>
        <v>57.100184106451</v>
      </c>
      <c r="T55" s="5" t="n">
        <f aca="false">J55*INDEX(DRIVERS!$C$32:$C$42,MATCH(B55,DRIVERS!$A$32:$A$42,0))</f>
        <v>0</v>
      </c>
      <c r="U55" s="5" t="n">
        <f aca="false">J55*INDEX(SUPPLIERS!$E$3:$E$30,MATCH(C55,SUPPLIERS!$A$3:$A$30,0))</f>
        <v>0</v>
      </c>
      <c r="V55" s="5" t="n">
        <v>0</v>
      </c>
      <c r="W55" s="5" t="n">
        <f aca="false">J55+S55+T55+U55+V55</f>
        <v>68057.1001841065</v>
      </c>
      <c r="X55" s="9" t="n">
        <f aca="false">W55/J55-1</f>
        <v>0.000839708589800869</v>
      </c>
      <c r="Y55" s="6" t="n">
        <f aca="false">INDEX(DRIVERS!$B$32:$B$42,MATCH(B55,DRIVERS!$A$32:$A$42,0))</f>
        <v>0.1</v>
      </c>
      <c r="Z55" s="5" t="n">
        <f aca="false">W55*(1+Y55)</f>
        <v>74862.8102025171</v>
      </c>
      <c r="AA55" s="5" t="n">
        <f aca="false">W55*(1+Y55+DRIVERS!$B$26)*(1+DRIVERS!$B$27)</f>
        <v>87657.5450371291</v>
      </c>
      <c r="AB55" s="2" t="s">
        <v>205</v>
      </c>
      <c r="AC55" s="8"/>
    </row>
    <row r="56" customFormat="false" ht="15" hidden="false" customHeight="false" outlineLevel="0" collapsed="false">
      <c r="A56" s="2" t="s">
        <v>374</v>
      </c>
      <c r="B56" s="2" t="s">
        <v>235</v>
      </c>
      <c r="C56" s="2" t="s">
        <v>90</v>
      </c>
      <c r="D56" s="2" t="s">
        <v>375</v>
      </c>
      <c r="E56" s="2" t="s">
        <v>376</v>
      </c>
      <c r="F56" s="2" t="s">
        <v>186</v>
      </c>
      <c r="G56" s="2" t="s">
        <v>186</v>
      </c>
      <c r="H56" s="5" t="n">
        <v>82000</v>
      </c>
      <c r="I56" s="6" t="n">
        <f aca="false">INDEX(SUPPLIERS!$D$3:$D$30,MATCH(C56,SUPPLIERS!$A$3:$A$30,0))</f>
        <v>0</v>
      </c>
      <c r="J56" s="5" t="n">
        <f aca="false">H56*(1-I56)</f>
        <v>82000</v>
      </c>
      <c r="K56" s="2" t="n">
        <v>12</v>
      </c>
      <c r="L56" s="2" t="s">
        <v>238</v>
      </c>
      <c r="M56" s="5" t="n">
        <f aca="false">IF(K56="","",J56/K56)</f>
        <v>6833.33333333333</v>
      </c>
      <c r="N56" s="2" t="n">
        <v>61.5</v>
      </c>
      <c r="O56" s="13" t="n">
        <v>0.24067</v>
      </c>
      <c r="P56" s="2" t="s">
        <v>310</v>
      </c>
      <c r="Q56" s="14" t="n">
        <f aca="false">MAX(N56/DRIVERS!$B$5,O56/DRIVERS!$B$6)</f>
        <v>0.0205</v>
      </c>
      <c r="R56" s="15" t="n">
        <f aca="false">ROUNDDOWN(1/Q56,0)</f>
        <v>48</v>
      </c>
      <c r="S56" s="5" t="n">
        <f aca="false">DRIVERS!$B$23*Q56/DRIVERS!$B$24</f>
        <v>106.413979471113</v>
      </c>
      <c r="T56" s="5" t="n">
        <f aca="false">J56*INDEX(DRIVERS!$C$32:$C$42,MATCH(B56,DRIVERS!$A$32:$A$42,0))</f>
        <v>0</v>
      </c>
      <c r="U56" s="5" t="n">
        <f aca="false">J56*INDEX(SUPPLIERS!$E$3:$E$30,MATCH(C56,SUPPLIERS!$A$3:$A$30,0))</f>
        <v>0</v>
      </c>
      <c r="V56" s="5" t="n">
        <v>0</v>
      </c>
      <c r="W56" s="5" t="n">
        <f aca="false">J56+S56+T56+U56+V56</f>
        <v>82106.4139794711</v>
      </c>
      <c r="X56" s="9" t="n">
        <f aca="false">W56/J56-1</f>
        <v>0.00129773145696466</v>
      </c>
      <c r="Y56" s="6" t="n">
        <f aca="false">INDEX(DRIVERS!$B$32:$B$42,MATCH(B56,DRIVERS!$A$32:$A$42,0))</f>
        <v>0.1</v>
      </c>
      <c r="Z56" s="5" t="n">
        <f aca="false">W56*(1+Y56)</f>
        <v>90317.0553774182</v>
      </c>
      <c r="AA56" s="5" t="n">
        <f aca="false">W56*(1+Y56+DRIVERS!$B$26)*(1+DRIVERS!$B$27)</f>
        <v>105753.061205559</v>
      </c>
      <c r="AB56" s="2" t="s">
        <v>205</v>
      </c>
      <c r="AC56" s="8"/>
      <c r="AD56" s="2" t="s">
        <v>377</v>
      </c>
    </row>
    <row r="57" customFormat="false" ht="15" hidden="false" customHeight="false" outlineLevel="0" collapsed="false">
      <c r="A57" s="2" t="s">
        <v>378</v>
      </c>
      <c r="B57" s="2" t="s">
        <v>235</v>
      </c>
      <c r="C57" s="2" t="s">
        <v>90</v>
      </c>
      <c r="D57" s="2" t="s">
        <v>379</v>
      </c>
      <c r="E57" s="2" t="s">
        <v>380</v>
      </c>
      <c r="F57" s="2" t="s">
        <v>186</v>
      </c>
      <c r="G57" s="2" t="s">
        <v>186</v>
      </c>
      <c r="H57" s="5" t="n">
        <v>113000</v>
      </c>
      <c r="I57" s="6" t="n">
        <f aca="false">INDEX(SUPPLIERS!$D$3:$D$30,MATCH(C57,SUPPLIERS!$A$3:$A$30,0))</f>
        <v>0</v>
      </c>
      <c r="J57" s="5" t="n">
        <f aca="false">H57*(1-I57)</f>
        <v>113000</v>
      </c>
      <c r="K57" s="2" t="n">
        <v>16</v>
      </c>
      <c r="L57" s="2" t="s">
        <v>238</v>
      </c>
      <c r="M57" s="5" t="n">
        <f aca="false">IF(K57="","",J57/K57)</f>
        <v>7062.5</v>
      </c>
      <c r="N57" s="2" t="n">
        <v>55.5</v>
      </c>
      <c r="O57" s="13" t="n">
        <v>0.19323</v>
      </c>
      <c r="P57" s="2" t="s">
        <v>310</v>
      </c>
      <c r="Q57" s="14" t="n">
        <f aca="false">MAX(N57/DRIVERS!$B$5,O57/DRIVERS!$B$6)</f>
        <v>0.0185</v>
      </c>
      <c r="R57" s="15" t="n">
        <f aca="false">ROUNDDOWN(1/Q57,0)</f>
        <v>54</v>
      </c>
      <c r="S57" s="5" t="n">
        <f aca="false">DRIVERS!$B$23*Q57/DRIVERS!$B$24</f>
        <v>96.0321278153948</v>
      </c>
      <c r="T57" s="5" t="n">
        <f aca="false">J57*INDEX(DRIVERS!$C$32:$C$42,MATCH(B57,DRIVERS!$A$32:$A$42,0))</f>
        <v>0</v>
      </c>
      <c r="U57" s="5" t="n">
        <f aca="false">J57*INDEX(SUPPLIERS!$E$3:$E$30,MATCH(C57,SUPPLIERS!$A$3:$A$30,0))</f>
        <v>0</v>
      </c>
      <c r="V57" s="5" t="n">
        <v>0</v>
      </c>
      <c r="W57" s="5" t="n">
        <f aca="false">J57+S57+T57+U57+V57</f>
        <v>113096.032127815</v>
      </c>
      <c r="X57" s="9" t="n">
        <f aca="false">W57/J57-1</f>
        <v>0.000849841839074328</v>
      </c>
      <c r="Y57" s="6" t="n">
        <f aca="false">INDEX(DRIVERS!$B$32:$B$42,MATCH(B57,DRIVERS!$A$32:$A$42,0))</f>
        <v>0.1</v>
      </c>
      <c r="Z57" s="5" t="n">
        <f aca="false">W57*(1+Y57)</f>
        <v>124405.635340597</v>
      </c>
      <c r="AA57" s="5" t="n">
        <f aca="false">W57*(1+Y57+DRIVERS!$B$26)*(1+DRIVERS!$B$27)</f>
        <v>145667.689380626</v>
      </c>
      <c r="AB57" s="2" t="s">
        <v>205</v>
      </c>
      <c r="AC57" s="8"/>
    </row>
    <row r="58" customFormat="false" ht="15" hidden="false" customHeight="false" outlineLevel="0" collapsed="false">
      <c r="A58" s="2" t="s">
        <v>381</v>
      </c>
      <c r="B58" s="2" t="s">
        <v>235</v>
      </c>
      <c r="C58" s="2" t="s">
        <v>90</v>
      </c>
      <c r="D58" s="2" t="s">
        <v>382</v>
      </c>
      <c r="E58" s="2" t="s">
        <v>383</v>
      </c>
      <c r="F58" s="2" t="s">
        <v>186</v>
      </c>
      <c r="G58" s="2" t="s">
        <v>186</v>
      </c>
      <c r="H58" s="5" t="n">
        <v>43000</v>
      </c>
      <c r="I58" s="6" t="n">
        <f aca="false">INDEX(SUPPLIERS!$D$3:$D$30,MATCH(C58,SUPPLIERS!$A$3:$A$30,0))</f>
        <v>0</v>
      </c>
      <c r="J58" s="5" t="n">
        <f aca="false">H58*(1-I58)</f>
        <v>43000</v>
      </c>
      <c r="K58" s="2" t="n">
        <v>6</v>
      </c>
      <c r="L58" s="2" t="s">
        <v>238</v>
      </c>
      <c r="M58" s="5" t="n">
        <f aca="false">IF(K58="","",J58/K58)</f>
        <v>7166.66666666667</v>
      </c>
      <c r="N58" s="2" t="n">
        <v>27.5</v>
      </c>
      <c r="O58" s="13" t="n">
        <v>0.10613</v>
      </c>
      <c r="P58" s="2" t="s">
        <v>310</v>
      </c>
      <c r="Q58" s="14" t="n">
        <f aca="false">MAX(N58/DRIVERS!$B$5,O58/DRIVERS!$B$6)</f>
        <v>0.00916666666666667</v>
      </c>
      <c r="R58" s="15" t="n">
        <f aca="false">ROUNDDOWN(1/Q58,0)</f>
        <v>109</v>
      </c>
      <c r="S58" s="5" t="n">
        <f aca="false">DRIVERS!$B$23*Q58/DRIVERS!$B$24</f>
        <v>47.5834867553758</v>
      </c>
      <c r="T58" s="5" t="n">
        <f aca="false">J58*INDEX(DRIVERS!$C$32:$C$42,MATCH(B58,DRIVERS!$A$32:$A$42,0))</f>
        <v>0</v>
      </c>
      <c r="U58" s="5" t="n">
        <f aca="false">J58*INDEX(SUPPLIERS!$E$3:$E$30,MATCH(C58,SUPPLIERS!$A$3:$A$30,0))</f>
        <v>0</v>
      </c>
      <c r="V58" s="5" t="n">
        <v>0</v>
      </c>
      <c r="W58" s="5" t="n">
        <f aca="false">J58+S58+T58+U58+V58</f>
        <v>43047.5834867554</v>
      </c>
      <c r="X58" s="9" t="n">
        <f aca="false">W58/J58-1</f>
        <v>0.00110659271524138</v>
      </c>
      <c r="Y58" s="6" t="n">
        <f aca="false">INDEX(DRIVERS!$B$32:$B$42,MATCH(B58,DRIVERS!$A$32:$A$42,0))</f>
        <v>0.1</v>
      </c>
      <c r="Z58" s="5" t="n">
        <f aca="false">W58*(1+Y58)</f>
        <v>47352.3418354309</v>
      </c>
      <c r="AA58" s="5" t="n">
        <f aca="false">W58*(1+Y58+DRIVERS!$B$26)*(1+DRIVERS!$B$27)</f>
        <v>55445.2875309409</v>
      </c>
      <c r="AB58" s="2" t="s">
        <v>205</v>
      </c>
      <c r="AC58" s="8"/>
    </row>
    <row r="59" customFormat="false" ht="15" hidden="false" customHeight="false" outlineLevel="0" collapsed="false">
      <c r="A59" s="2" t="s">
        <v>384</v>
      </c>
      <c r="B59" s="2" t="s">
        <v>235</v>
      </c>
      <c r="C59" s="2" t="s">
        <v>90</v>
      </c>
      <c r="D59" s="2" t="s">
        <v>385</v>
      </c>
      <c r="E59" s="2" t="s">
        <v>386</v>
      </c>
      <c r="F59" s="2" t="s">
        <v>186</v>
      </c>
      <c r="G59" s="2" t="s">
        <v>186</v>
      </c>
      <c r="H59" s="5" t="n">
        <v>59000</v>
      </c>
      <c r="I59" s="6" t="n">
        <f aca="false">INDEX(SUPPLIERS!$D$3:$D$30,MATCH(C59,SUPPLIERS!$A$3:$A$30,0))</f>
        <v>0</v>
      </c>
      <c r="J59" s="5" t="n">
        <f aca="false">H59*(1-I59)</f>
        <v>59000</v>
      </c>
      <c r="K59" s="2" t="n">
        <v>8</v>
      </c>
      <c r="L59" s="2" t="s">
        <v>238</v>
      </c>
      <c r="M59" s="5" t="n">
        <f aca="false">IF(K59="","",J59/K59)</f>
        <v>7375</v>
      </c>
      <c r="N59" s="2" t="n">
        <v>33.4</v>
      </c>
      <c r="O59" s="13" t="n">
        <v>0.1295</v>
      </c>
      <c r="P59" s="2" t="s">
        <v>310</v>
      </c>
      <c r="Q59" s="14" t="n">
        <f aca="false">MAX(N59/DRIVERS!$B$5,O59/DRIVERS!$B$6)</f>
        <v>0.0111333333333333</v>
      </c>
      <c r="R59" s="15" t="n">
        <f aca="false">ROUNDDOWN(1/Q59,0)</f>
        <v>89</v>
      </c>
      <c r="S59" s="5" t="n">
        <f aca="false">DRIVERS!$B$23*Q59/DRIVERS!$B$24</f>
        <v>57.7923075501655</v>
      </c>
      <c r="T59" s="5" t="n">
        <f aca="false">J59*INDEX(DRIVERS!$C$32:$C$42,MATCH(B59,DRIVERS!$A$32:$A$42,0))</f>
        <v>0</v>
      </c>
      <c r="U59" s="5" t="n">
        <f aca="false">J59*INDEX(SUPPLIERS!$E$3:$E$30,MATCH(C59,SUPPLIERS!$A$3:$A$30,0))</f>
        <v>0</v>
      </c>
      <c r="V59" s="5" t="n">
        <v>0</v>
      </c>
      <c r="W59" s="5" t="n">
        <f aca="false">J59+S59+T59+U59+V59</f>
        <v>59057.7923075502</v>
      </c>
      <c r="X59" s="9" t="n">
        <f aca="false">W59/J59-1</f>
        <v>0.000979530636443515</v>
      </c>
      <c r="Y59" s="6" t="n">
        <f aca="false">INDEX(DRIVERS!$B$32:$B$42,MATCH(B59,DRIVERS!$A$32:$A$42,0))</f>
        <v>0.1</v>
      </c>
      <c r="Z59" s="5" t="n">
        <f aca="false">W59*(1+Y59)</f>
        <v>64963.5715383052</v>
      </c>
      <c r="AA59" s="5" t="n">
        <f aca="false">W59*(1+Y59+DRIVERS!$B$26)*(1+DRIVERS!$B$27)</f>
        <v>76066.4364921246</v>
      </c>
      <c r="AB59" s="2" t="s">
        <v>205</v>
      </c>
      <c r="AC59" s="8"/>
    </row>
    <row r="60" customFormat="false" ht="15" hidden="false" customHeight="false" outlineLevel="0" collapsed="false">
      <c r="A60" s="2" t="s">
        <v>387</v>
      </c>
      <c r="B60" s="2" t="s">
        <v>235</v>
      </c>
      <c r="C60" s="2" t="s">
        <v>90</v>
      </c>
      <c r="D60" s="2" t="s">
        <v>388</v>
      </c>
      <c r="E60" s="2" t="s">
        <v>389</v>
      </c>
      <c r="F60" s="2" t="s">
        <v>186</v>
      </c>
      <c r="G60" s="2" t="s">
        <v>186</v>
      </c>
      <c r="H60" s="5" t="n">
        <v>41000</v>
      </c>
      <c r="I60" s="6" t="n">
        <f aca="false">INDEX(SUPPLIERS!$D$3:$D$30,MATCH(C60,SUPPLIERS!$A$3:$A$30,0))</f>
        <v>0</v>
      </c>
      <c r="J60" s="5" t="n">
        <f aca="false">H60*(1-I60)</f>
        <v>41000</v>
      </c>
      <c r="K60" s="2" t="n">
        <v>5</v>
      </c>
      <c r="L60" s="2" t="s">
        <v>238</v>
      </c>
      <c r="M60" s="5" t="n">
        <f aca="false">IF(K60="","",J60/K60)</f>
        <v>8200</v>
      </c>
      <c r="N60" s="2" t="n">
        <v>25</v>
      </c>
      <c r="O60" s="13" t="n">
        <v>0.0649</v>
      </c>
      <c r="P60" s="2" t="s">
        <v>310</v>
      </c>
      <c r="Q60" s="14" t="n">
        <f aca="false">MAX(N60/DRIVERS!$B$5,O60/DRIVERS!$B$6)</f>
        <v>0.00833333333333333</v>
      </c>
      <c r="R60" s="15" t="n">
        <f aca="false">ROUNDDOWN(1/Q60,0)</f>
        <v>120</v>
      </c>
      <c r="S60" s="5" t="n">
        <f aca="false">DRIVERS!$B$23*Q60/DRIVERS!$B$24</f>
        <v>43.2577152321598</v>
      </c>
      <c r="T60" s="5" t="n">
        <f aca="false">J60*INDEX(DRIVERS!$C$32:$C$42,MATCH(B60,DRIVERS!$A$32:$A$42,0))</f>
        <v>0</v>
      </c>
      <c r="U60" s="5" t="n">
        <f aca="false">J60*INDEX(SUPPLIERS!$E$3:$E$30,MATCH(C60,SUPPLIERS!$A$3:$A$30,0))</f>
        <v>0</v>
      </c>
      <c r="V60" s="5" t="n">
        <v>0</v>
      </c>
      <c r="W60" s="5" t="n">
        <f aca="false">J60+S60+T60+U60+V60</f>
        <v>41043.2577152322</v>
      </c>
      <c r="X60" s="9" t="n">
        <f aca="false">W60/J60-1</f>
        <v>0.00105506622517471</v>
      </c>
      <c r="Y60" s="6" t="n">
        <f aca="false">INDEX(DRIVERS!$B$32:$B$42,MATCH(B60,DRIVERS!$A$32:$A$42,0))</f>
        <v>0.1</v>
      </c>
      <c r="Z60" s="5" t="n">
        <f aca="false">W60*(1+Y60)</f>
        <v>45147.5834867554</v>
      </c>
      <c r="AA60" s="5" t="n">
        <f aca="false">W60*(1+Y60+DRIVERS!$B$26)*(1+DRIVERS!$B$27)</f>
        <v>52863.715937219</v>
      </c>
      <c r="AB60" s="2" t="s">
        <v>205</v>
      </c>
      <c r="AC60" s="8"/>
    </row>
    <row r="61" customFormat="false" ht="15" hidden="false" customHeight="false" outlineLevel="0" collapsed="false">
      <c r="A61" s="2" t="s">
        <v>390</v>
      </c>
      <c r="B61" s="2" t="s">
        <v>235</v>
      </c>
      <c r="C61" s="2" t="s">
        <v>90</v>
      </c>
      <c r="D61" s="2" t="s">
        <v>391</v>
      </c>
      <c r="E61" s="2" t="s">
        <v>392</v>
      </c>
      <c r="F61" s="2" t="s">
        <v>186</v>
      </c>
      <c r="G61" s="2" t="s">
        <v>186</v>
      </c>
      <c r="H61" s="5" t="n">
        <v>580000</v>
      </c>
      <c r="I61" s="6" t="n">
        <f aca="false">INDEX(SUPPLIERS!$D$3:$D$30,MATCH(C61,SUPPLIERS!$A$3:$A$30,0))</f>
        <v>0</v>
      </c>
      <c r="J61" s="5" t="n">
        <f aca="false">H61*(1-I61)</f>
        <v>580000</v>
      </c>
      <c r="K61" s="2" t="n">
        <v>125</v>
      </c>
      <c r="L61" s="2" t="s">
        <v>238</v>
      </c>
      <c r="M61" s="5" t="n">
        <f aca="false">IF(K61="","",J61/K61)</f>
        <v>4640</v>
      </c>
      <c r="N61" s="2" t="n">
        <v>235</v>
      </c>
      <c r="O61" s="13" t="n">
        <v>0.78</v>
      </c>
      <c r="P61" s="2" t="s">
        <v>310</v>
      </c>
      <c r="Q61" s="14" t="n">
        <f aca="false">MAX(N61/DRIVERS!$B$5,O61/DRIVERS!$B$6)</f>
        <v>0.0783333333333333</v>
      </c>
      <c r="R61" s="15" t="n">
        <f aca="false">ROUNDDOWN(1/Q61,0)</f>
        <v>12</v>
      </c>
      <c r="S61" s="5" t="n">
        <f aca="false">DRIVERS!$B$23*Q61/DRIVERS!$B$24</f>
        <v>406.622523182302</v>
      </c>
      <c r="T61" s="5" t="n">
        <f aca="false">J61*INDEX(DRIVERS!$C$32:$C$42,MATCH(B61,DRIVERS!$A$32:$A$42,0))</f>
        <v>0</v>
      </c>
      <c r="U61" s="5" t="n">
        <f aca="false">J61*INDEX(SUPPLIERS!$E$3:$E$30,MATCH(C61,SUPPLIERS!$A$3:$A$30,0))</f>
        <v>0</v>
      </c>
      <c r="V61" s="5" t="n">
        <v>0</v>
      </c>
      <c r="W61" s="5" t="n">
        <f aca="false">J61+S61+T61+U61+V61</f>
        <v>580406.622523182</v>
      </c>
      <c r="X61" s="9" t="n">
        <f aca="false">W61/J61-1</f>
        <v>0.000701073315831469</v>
      </c>
      <c r="Y61" s="6" t="n">
        <f aca="false">INDEX(DRIVERS!$B$32:$B$42,MATCH(B61,DRIVERS!$A$32:$A$42,0))</f>
        <v>0.1</v>
      </c>
      <c r="Z61" s="5" t="n">
        <f aca="false">W61*(1+Y61)</f>
        <v>638447.284775501</v>
      </c>
      <c r="AA61" s="5" t="n">
        <f aca="false">W61*(1+Y61+DRIVERS!$B$26)*(1+DRIVERS!$B$27)</f>
        <v>747563.729809859</v>
      </c>
      <c r="AB61" s="2" t="s">
        <v>205</v>
      </c>
      <c r="AC61" s="8"/>
    </row>
    <row r="62" customFormat="false" ht="15" hidden="false" customHeight="false" outlineLevel="0" collapsed="false">
      <c r="A62" s="2" t="s">
        <v>393</v>
      </c>
      <c r="B62" s="2" t="s">
        <v>235</v>
      </c>
      <c r="C62" s="2" t="s">
        <v>90</v>
      </c>
      <c r="D62" s="2" t="s">
        <v>394</v>
      </c>
      <c r="E62" s="2" t="s">
        <v>395</v>
      </c>
      <c r="F62" s="2" t="s">
        <v>186</v>
      </c>
      <c r="G62" s="2" t="s">
        <v>186</v>
      </c>
      <c r="H62" s="5" t="n">
        <v>310000</v>
      </c>
      <c r="I62" s="6" t="n">
        <f aca="false">INDEX(SUPPLIERS!$D$3:$D$30,MATCH(C62,SUPPLIERS!$A$3:$A$30,0))</f>
        <v>0</v>
      </c>
      <c r="J62" s="5" t="n">
        <f aca="false">H62*(1-I62)</f>
        <v>310000</v>
      </c>
      <c r="K62" s="2" t="n">
        <v>50</v>
      </c>
      <c r="L62" s="2" t="s">
        <v>238</v>
      </c>
      <c r="M62" s="5" t="n">
        <f aca="false">IF(K62="","",J62/K62)</f>
        <v>6200</v>
      </c>
      <c r="N62" s="2" t="n">
        <v>88</v>
      </c>
      <c r="O62" s="13" t="n">
        <v>0.30712</v>
      </c>
      <c r="P62" s="2" t="s">
        <v>310</v>
      </c>
      <c r="Q62" s="14" t="n">
        <f aca="false">MAX(N62/DRIVERS!$B$5,O62/DRIVERS!$B$6)</f>
        <v>0.0293333333333333</v>
      </c>
      <c r="R62" s="15" t="n">
        <f aca="false">ROUNDDOWN(1/Q62,0)</f>
        <v>34</v>
      </c>
      <c r="S62" s="5" t="n">
        <f aca="false">DRIVERS!$B$23*Q62/DRIVERS!$B$24</f>
        <v>152.267157617203</v>
      </c>
      <c r="T62" s="5" t="n">
        <f aca="false">J62*INDEX(DRIVERS!$C$32:$C$42,MATCH(B62,DRIVERS!$A$32:$A$42,0))</f>
        <v>0</v>
      </c>
      <c r="U62" s="5" t="n">
        <f aca="false">J62*INDEX(SUPPLIERS!$E$3:$E$30,MATCH(C62,SUPPLIERS!$A$3:$A$30,0))</f>
        <v>0</v>
      </c>
      <c r="V62" s="5" t="n">
        <v>0</v>
      </c>
      <c r="W62" s="5" t="n">
        <f aca="false">J62+S62+T62+U62+V62</f>
        <v>310152.267157617</v>
      </c>
      <c r="X62" s="9" t="n">
        <f aca="false">W62/J62-1</f>
        <v>0.000491184379410425</v>
      </c>
      <c r="Y62" s="6" t="n">
        <f aca="false">INDEX(DRIVERS!$B$32:$B$42,MATCH(B62,DRIVERS!$A$32:$A$42,0))</f>
        <v>0.1</v>
      </c>
      <c r="Z62" s="5" t="n">
        <f aca="false">W62*(1+Y62)</f>
        <v>341167.493873379</v>
      </c>
      <c r="AA62" s="5" t="n">
        <f aca="false">W62*(1+Y62+DRIVERS!$B$26)*(1+DRIVERS!$B$27)</f>
        <v>399476.120099011</v>
      </c>
      <c r="AB62" s="2" t="s">
        <v>205</v>
      </c>
      <c r="AC62" s="8"/>
    </row>
    <row r="63" customFormat="false" ht="15" hidden="false" customHeight="false" outlineLevel="0" collapsed="false">
      <c r="A63" s="2" t="s">
        <v>396</v>
      </c>
      <c r="B63" s="2" t="s">
        <v>235</v>
      </c>
      <c r="C63" s="2" t="s">
        <v>90</v>
      </c>
      <c r="D63" s="2" t="s">
        <v>397</v>
      </c>
      <c r="E63" s="2" t="s">
        <v>398</v>
      </c>
      <c r="F63" s="2" t="s">
        <v>186</v>
      </c>
      <c r="G63" s="2" t="s">
        <v>186</v>
      </c>
      <c r="H63" s="5" t="n">
        <v>580000</v>
      </c>
      <c r="I63" s="6" t="n">
        <f aca="false">INDEX(SUPPLIERS!$D$3:$D$30,MATCH(C63,SUPPLIERS!$A$3:$A$30,0))</f>
        <v>0</v>
      </c>
      <c r="J63" s="5" t="n">
        <f aca="false">H63*(1-I63)</f>
        <v>580000</v>
      </c>
      <c r="K63" s="2" t="n">
        <v>75</v>
      </c>
      <c r="L63" s="2" t="s">
        <v>238</v>
      </c>
      <c r="M63" s="5" t="n">
        <f aca="false">IF(K63="","",J63/K63)</f>
        <v>7733.33333333333</v>
      </c>
      <c r="N63" s="2" t="n">
        <v>170.1</v>
      </c>
      <c r="O63" s="13" t="n">
        <v>0.51718</v>
      </c>
      <c r="P63" s="2" t="s">
        <v>310</v>
      </c>
      <c r="Q63" s="14" t="n">
        <f aca="false">MAX(N63/DRIVERS!$B$5,O63/DRIVERS!$B$6)</f>
        <v>0.0567</v>
      </c>
      <c r="R63" s="15" t="n">
        <f aca="false">ROUNDDOWN(1/Q63,0)</f>
        <v>17</v>
      </c>
      <c r="S63" s="5" t="n">
        <f aca="false">DRIVERS!$B$23*Q63/DRIVERS!$B$24</f>
        <v>294.325494439615</v>
      </c>
      <c r="T63" s="5" t="n">
        <f aca="false">J63*INDEX(DRIVERS!$C$32:$C$42,MATCH(B63,DRIVERS!$A$32:$A$42,0))</f>
        <v>0</v>
      </c>
      <c r="U63" s="5" t="n">
        <f aca="false">J63*INDEX(SUPPLIERS!$E$3:$E$30,MATCH(C63,SUPPLIERS!$A$3:$A$30,0))</f>
        <v>0</v>
      </c>
      <c r="V63" s="5" t="n">
        <v>0</v>
      </c>
      <c r="W63" s="5" t="n">
        <f aca="false">J63+S63+T63+U63+V63</f>
        <v>580294.32549444</v>
      </c>
      <c r="X63" s="9" t="n">
        <f aca="false">W63/J63-1</f>
        <v>0.000507457749033824</v>
      </c>
      <c r="Y63" s="6" t="n">
        <f aca="false">INDEX(DRIVERS!$B$32:$B$42,MATCH(B63,DRIVERS!$A$32:$A$42,0))</f>
        <v>0.1</v>
      </c>
      <c r="Z63" s="5" t="n">
        <f aca="false">W63*(1+Y63)</f>
        <v>638323.758043884</v>
      </c>
      <c r="AA63" s="5" t="n">
        <f aca="false">W63*(1+Y63+DRIVERS!$B$26)*(1+DRIVERS!$B$27)</f>
        <v>747419.091236838</v>
      </c>
      <c r="AB63" s="2" t="s">
        <v>205</v>
      </c>
      <c r="AC63" s="8"/>
    </row>
    <row r="64" customFormat="false" ht="15" hidden="false" customHeight="false" outlineLevel="0" collapsed="false">
      <c r="A64" s="2" t="s">
        <v>399</v>
      </c>
      <c r="B64" s="2" t="s">
        <v>235</v>
      </c>
      <c r="C64" s="2" t="s">
        <v>90</v>
      </c>
      <c r="D64" s="2" t="s">
        <v>400</v>
      </c>
      <c r="E64" s="2" t="s">
        <v>401</v>
      </c>
      <c r="F64" s="2" t="s">
        <v>186</v>
      </c>
      <c r="G64" s="2" t="s">
        <v>186</v>
      </c>
      <c r="H64" s="5" t="n">
        <v>124000</v>
      </c>
      <c r="I64" s="6" t="n">
        <f aca="false">INDEX(SUPPLIERS!$D$3:$D$30,MATCH(C64,SUPPLIERS!$A$3:$A$30,0))</f>
        <v>0</v>
      </c>
      <c r="J64" s="5" t="n">
        <f aca="false">H64*(1-I64)</f>
        <v>124000</v>
      </c>
      <c r="K64" s="2" t="n">
        <v>15</v>
      </c>
      <c r="L64" s="2" t="s">
        <v>238</v>
      </c>
      <c r="M64" s="5" t="n">
        <f aca="false">IF(K64="","",J64/K64)</f>
        <v>8266.66666666667</v>
      </c>
      <c r="N64" s="2" t="n">
        <v>48</v>
      </c>
      <c r="O64" s="13" t="n">
        <v>0.17601</v>
      </c>
      <c r="P64" s="2" t="s">
        <v>310</v>
      </c>
      <c r="Q64" s="14" t="n">
        <f aca="false">MAX(N64/DRIVERS!$B$5,O64/DRIVERS!$B$6)</f>
        <v>0.016</v>
      </c>
      <c r="R64" s="15" t="n">
        <f aca="false">ROUNDDOWN(1/Q64,0)</f>
        <v>62</v>
      </c>
      <c r="S64" s="5" t="n">
        <f aca="false">DRIVERS!$B$23*Q64/DRIVERS!$B$24</f>
        <v>83.0548132457469</v>
      </c>
      <c r="T64" s="5" t="n">
        <f aca="false">J64*INDEX(DRIVERS!$C$32:$C$42,MATCH(B64,DRIVERS!$A$32:$A$42,0))</f>
        <v>0</v>
      </c>
      <c r="U64" s="5" t="n">
        <f aca="false">J64*INDEX(SUPPLIERS!$E$3:$E$30,MATCH(C64,SUPPLIERS!$A$3:$A$30,0))</f>
        <v>0</v>
      </c>
      <c r="V64" s="5" t="n">
        <v>0</v>
      </c>
      <c r="W64" s="5" t="n">
        <f aca="false">J64+S64+T64+U64+V64</f>
        <v>124083.054813246</v>
      </c>
      <c r="X64" s="9" t="n">
        <f aca="false">W64/J64-1</f>
        <v>0.000669796881014095</v>
      </c>
      <c r="Y64" s="6" t="n">
        <f aca="false">INDEX(DRIVERS!$B$32:$B$42,MATCH(B64,DRIVERS!$A$32:$A$42,0))</f>
        <v>0.1</v>
      </c>
      <c r="Z64" s="5" t="n">
        <f aca="false">W64*(1+Y64)</f>
        <v>136491.36029457</v>
      </c>
      <c r="AA64" s="5" t="n">
        <f aca="false">W64*(1+Y64+DRIVERS!$B$26)*(1+DRIVERS!$B$27)</f>
        <v>159818.974599461</v>
      </c>
      <c r="AB64" s="2" t="s">
        <v>205</v>
      </c>
      <c r="AC64" s="8"/>
    </row>
    <row r="65" customFormat="false" ht="15" hidden="false" customHeight="false" outlineLevel="0" collapsed="false">
      <c r="A65" s="2" t="s">
        <v>402</v>
      </c>
      <c r="B65" s="2" t="s">
        <v>235</v>
      </c>
      <c r="C65" s="2" t="s">
        <v>90</v>
      </c>
      <c r="D65" s="2" t="s">
        <v>403</v>
      </c>
      <c r="E65" s="2" t="s">
        <v>404</v>
      </c>
      <c r="F65" s="2" t="s">
        <v>186</v>
      </c>
      <c r="G65" s="2" t="s">
        <v>186</v>
      </c>
      <c r="H65" s="5" t="n">
        <v>500000</v>
      </c>
      <c r="I65" s="6" t="n">
        <f aca="false">INDEX(SUPPLIERS!$D$3:$D$30,MATCH(C65,SUPPLIERS!$A$3:$A$30,0))</f>
        <v>0</v>
      </c>
      <c r="J65" s="5" t="n">
        <f aca="false">H65*(1-I65)</f>
        <v>500000</v>
      </c>
      <c r="K65" s="2" t="n">
        <v>60</v>
      </c>
      <c r="L65" s="2" t="s">
        <v>238</v>
      </c>
      <c r="M65" s="5" t="n">
        <f aca="false">IF(K65="","",J65/K65)</f>
        <v>8333.33333333333</v>
      </c>
      <c r="N65" s="2" t="n">
        <v>205</v>
      </c>
      <c r="O65" s="13" t="n">
        <v>0.7938</v>
      </c>
      <c r="P65" s="2" t="s">
        <v>310</v>
      </c>
      <c r="Q65" s="14" t="n">
        <f aca="false">MAX(N65/DRIVERS!$B$5,O65/DRIVERS!$B$6)</f>
        <v>0.0683333333333333</v>
      </c>
      <c r="R65" s="15" t="n">
        <f aca="false">ROUNDDOWN(1/Q65,0)</f>
        <v>14</v>
      </c>
      <c r="S65" s="5" t="n">
        <f aca="false">DRIVERS!$B$23*Q65/DRIVERS!$B$24</f>
        <v>354.713264903711</v>
      </c>
      <c r="T65" s="5" t="n">
        <f aca="false">J65*INDEX(DRIVERS!$C$32:$C$42,MATCH(B65,DRIVERS!$A$32:$A$42,0))</f>
        <v>0</v>
      </c>
      <c r="U65" s="5" t="n">
        <f aca="false">J65*INDEX(SUPPLIERS!$E$3:$E$30,MATCH(C65,SUPPLIERS!$A$3:$A$30,0))</f>
        <v>0</v>
      </c>
      <c r="V65" s="5" t="n">
        <v>0</v>
      </c>
      <c r="W65" s="5" t="n">
        <f aca="false">J65+S65+T65+U65+V65</f>
        <v>500354.713264904</v>
      </c>
      <c r="X65" s="9" t="n">
        <f aca="false">W65/J65-1</f>
        <v>0.000709426529807322</v>
      </c>
      <c r="Y65" s="6" t="n">
        <f aca="false">INDEX(DRIVERS!$B$32:$B$42,MATCH(B65,DRIVERS!$A$32:$A$42,0))</f>
        <v>0.1</v>
      </c>
      <c r="Z65" s="5" t="n">
        <f aca="false">W65*(1+Y65)</f>
        <v>550390.184591394</v>
      </c>
      <c r="AA65" s="5" t="n">
        <f aca="false">W65*(1+Y65+DRIVERS!$B$26)*(1+DRIVERS!$B$27)</f>
        <v>644456.870685196</v>
      </c>
      <c r="AB65" s="2" t="s">
        <v>205</v>
      </c>
      <c r="AC65" s="8"/>
    </row>
    <row r="66" customFormat="false" ht="15" hidden="false" customHeight="false" outlineLevel="0" collapsed="false">
      <c r="A66" s="2" t="s">
        <v>405</v>
      </c>
      <c r="B66" s="2" t="s">
        <v>235</v>
      </c>
      <c r="C66" s="2" t="s">
        <v>90</v>
      </c>
      <c r="D66" s="2" t="s">
        <v>406</v>
      </c>
      <c r="E66" s="2" t="s">
        <v>407</v>
      </c>
      <c r="F66" s="2" t="s">
        <v>186</v>
      </c>
      <c r="G66" s="2" t="s">
        <v>186</v>
      </c>
      <c r="H66" s="5" t="n">
        <v>259000</v>
      </c>
      <c r="I66" s="6" t="n">
        <f aca="false">INDEX(SUPPLIERS!$D$3:$D$30,MATCH(C66,SUPPLIERS!$A$3:$A$30,0))</f>
        <v>0</v>
      </c>
      <c r="J66" s="5" t="n">
        <f aca="false">H66*(1-I66)</f>
        <v>259000</v>
      </c>
      <c r="K66" s="2" t="n">
        <v>30</v>
      </c>
      <c r="L66" s="2" t="s">
        <v>238</v>
      </c>
      <c r="M66" s="5" t="n">
        <f aca="false">IF(K66="","",J66/K66)</f>
        <v>8633.33333333333</v>
      </c>
      <c r="N66" s="2" t="n">
        <v>80</v>
      </c>
      <c r="O66" s="13" t="n">
        <v>0.1995</v>
      </c>
      <c r="P66" s="2" t="s">
        <v>310</v>
      </c>
      <c r="Q66" s="14" t="n">
        <f aca="false">MAX(N66/DRIVERS!$B$5,O66/DRIVERS!$B$6)</f>
        <v>0.0266666666666667</v>
      </c>
      <c r="R66" s="15" t="n">
        <f aca="false">ROUNDDOWN(1/Q66,0)</f>
        <v>37</v>
      </c>
      <c r="S66" s="5" t="n">
        <f aca="false">DRIVERS!$B$23*Q66/DRIVERS!$B$24</f>
        <v>138.424688742911</v>
      </c>
      <c r="T66" s="5" t="n">
        <f aca="false">J66*INDEX(DRIVERS!$C$32:$C$42,MATCH(B66,DRIVERS!$A$32:$A$42,0))</f>
        <v>0</v>
      </c>
      <c r="U66" s="5" t="n">
        <f aca="false">J66*INDEX(SUPPLIERS!$E$3:$E$30,MATCH(C66,SUPPLIERS!$A$3:$A$30,0))</f>
        <v>0</v>
      </c>
      <c r="V66" s="5" t="n">
        <v>0</v>
      </c>
      <c r="W66" s="5" t="n">
        <f aca="false">J66+S66+T66+U66+V66</f>
        <v>259138.424688743</v>
      </c>
      <c r="X66" s="9" t="n">
        <f aca="false">W66/J66-1</f>
        <v>0.000534458257694714</v>
      </c>
      <c r="Y66" s="6" t="n">
        <f aca="false">INDEX(DRIVERS!$B$32:$B$42,MATCH(B66,DRIVERS!$A$32:$A$42,0))</f>
        <v>0.1</v>
      </c>
      <c r="Z66" s="5" t="n">
        <f aca="false">W66*(1+Y66)</f>
        <v>285052.267157617</v>
      </c>
      <c r="AA66" s="5" t="n">
        <f aca="false">W66*(1+Y66+DRIVERS!$B$26)*(1+DRIVERS!$B$27)</f>
        <v>333770.290999101</v>
      </c>
      <c r="AB66" s="2" t="s">
        <v>205</v>
      </c>
      <c r="AC66" s="8"/>
      <c r="AD66" s="2" t="s">
        <v>377</v>
      </c>
    </row>
    <row r="67" customFormat="false" ht="15" hidden="false" customHeight="false" outlineLevel="0" collapsed="false">
      <c r="A67" s="2" t="s">
        <v>408</v>
      </c>
      <c r="B67" s="2" t="s">
        <v>235</v>
      </c>
      <c r="C67" s="2" t="s">
        <v>90</v>
      </c>
      <c r="D67" s="2" t="s">
        <v>409</v>
      </c>
      <c r="E67" s="2" t="s">
        <v>410</v>
      </c>
      <c r="F67" s="2" t="s">
        <v>186</v>
      </c>
      <c r="G67" s="2" t="s">
        <v>186</v>
      </c>
      <c r="H67" s="5" t="n">
        <v>110000</v>
      </c>
      <c r="I67" s="6" t="n">
        <f aca="false">INDEX(SUPPLIERS!$D$3:$D$30,MATCH(C67,SUPPLIERS!$A$3:$A$30,0))</f>
        <v>0</v>
      </c>
      <c r="J67" s="5" t="n">
        <f aca="false">H67*(1-I67)</f>
        <v>110000</v>
      </c>
      <c r="K67" s="2" t="n">
        <v>9</v>
      </c>
      <c r="L67" s="2" t="s">
        <v>238</v>
      </c>
      <c r="M67" s="5" t="n">
        <f aca="false">IF(K67="","",J67/K67)</f>
        <v>12222.2222222222</v>
      </c>
      <c r="N67" s="2" t="n">
        <v>45</v>
      </c>
      <c r="O67" s="13" t="n">
        <v>0.156</v>
      </c>
      <c r="P67" s="2" t="s">
        <v>310</v>
      </c>
      <c r="Q67" s="14" t="n">
        <f aca="false">MAX(N67/DRIVERS!$B$5,O67/DRIVERS!$B$6)</f>
        <v>0.015</v>
      </c>
      <c r="R67" s="15" t="n">
        <f aca="false">ROUNDDOWN(1/Q67,0)</f>
        <v>66</v>
      </c>
      <c r="S67" s="5" t="n">
        <f aca="false">DRIVERS!$B$23*Q67/DRIVERS!$B$24</f>
        <v>77.8638874178877</v>
      </c>
      <c r="T67" s="5" t="n">
        <f aca="false">J67*INDEX(DRIVERS!$C$32:$C$42,MATCH(B67,DRIVERS!$A$32:$A$42,0))</f>
        <v>0</v>
      </c>
      <c r="U67" s="5" t="n">
        <f aca="false">J67*INDEX(SUPPLIERS!$E$3:$E$30,MATCH(C67,SUPPLIERS!$A$3:$A$30,0))</f>
        <v>0</v>
      </c>
      <c r="V67" s="5" t="n">
        <v>0</v>
      </c>
      <c r="W67" s="5" t="n">
        <f aca="false">J67+S67+T67+U67+V67</f>
        <v>110077.863887418</v>
      </c>
      <c r="X67" s="9" t="n">
        <f aca="false">W67/J67-1</f>
        <v>0.000707853521980884</v>
      </c>
      <c r="Y67" s="6" t="n">
        <f aca="false">INDEX(DRIVERS!$B$32:$B$42,MATCH(B67,DRIVERS!$A$32:$A$42,0))</f>
        <v>0.1</v>
      </c>
      <c r="Z67" s="5" t="n">
        <f aca="false">W67*(1+Y67)</f>
        <v>121085.65027616</v>
      </c>
      <c r="AA67" s="5" t="n">
        <f aca="false">W67*(1+Y67+DRIVERS!$B$26)*(1+DRIVERS!$B$27)</f>
        <v>141780.288686994</v>
      </c>
      <c r="AB67" s="2" t="s">
        <v>205</v>
      </c>
      <c r="AC67" s="8"/>
    </row>
    <row r="68" customFormat="false" ht="15" hidden="false" customHeight="false" outlineLevel="0" collapsed="false">
      <c r="A68" s="2" t="s">
        <v>411</v>
      </c>
      <c r="B68" s="2" t="s">
        <v>235</v>
      </c>
      <c r="C68" s="2" t="s">
        <v>90</v>
      </c>
      <c r="D68" s="2" t="s">
        <v>412</v>
      </c>
      <c r="E68" s="2" t="s">
        <v>413</v>
      </c>
      <c r="F68" s="2" t="s">
        <v>186</v>
      </c>
      <c r="G68" s="2" t="s">
        <v>186</v>
      </c>
      <c r="H68" s="5" t="n">
        <v>30000</v>
      </c>
      <c r="I68" s="6" t="n">
        <f aca="false">INDEX(SUPPLIERS!$D$3:$D$30,MATCH(C68,SUPPLIERS!$A$3:$A$30,0))</f>
        <v>0</v>
      </c>
      <c r="J68" s="5" t="n">
        <f aca="false">H68*(1-I68)</f>
        <v>30000</v>
      </c>
      <c r="K68" s="2" t="n">
        <v>5</v>
      </c>
      <c r="L68" s="2" t="s">
        <v>238</v>
      </c>
      <c r="M68" s="5" t="n">
        <f aca="false">IF(K68="","",J68/K68)</f>
        <v>6000</v>
      </c>
      <c r="N68" s="2" t="n">
        <v>16</v>
      </c>
      <c r="O68" s="13" t="n">
        <v>0.0588</v>
      </c>
      <c r="P68" s="2" t="s">
        <v>310</v>
      </c>
      <c r="Q68" s="14" t="n">
        <f aca="false">MAX(N68/DRIVERS!$B$5,O68/DRIVERS!$B$6)</f>
        <v>0.00533333333333333</v>
      </c>
      <c r="R68" s="15" t="n">
        <f aca="false">ROUNDDOWN(1/Q68,0)</f>
        <v>187</v>
      </c>
      <c r="S68" s="5" t="n">
        <f aca="false">DRIVERS!$B$23*Q68/DRIVERS!$B$24</f>
        <v>27.6849377485823</v>
      </c>
      <c r="T68" s="5" t="n">
        <f aca="false">J68*INDEX(DRIVERS!$C$32:$C$42,MATCH(B68,DRIVERS!$A$32:$A$42,0))</f>
        <v>0</v>
      </c>
      <c r="U68" s="5" t="n">
        <f aca="false">J68*INDEX(SUPPLIERS!$E$3:$E$30,MATCH(C68,SUPPLIERS!$A$3:$A$30,0))</f>
        <v>0</v>
      </c>
      <c r="V68" s="5" t="n">
        <v>0</v>
      </c>
      <c r="W68" s="5" t="n">
        <f aca="false">J68+S68+T68+U68+V68</f>
        <v>30027.6849377486</v>
      </c>
      <c r="X68" s="9" t="n">
        <f aca="false">W68/J68-1</f>
        <v>0.000922831258286072</v>
      </c>
      <c r="Y68" s="6" t="n">
        <f aca="false">INDEX(DRIVERS!$B$32:$B$42,MATCH(B68,DRIVERS!$A$32:$A$42,0))</f>
        <v>0.1</v>
      </c>
      <c r="Z68" s="5" t="n">
        <f aca="false">W68*(1+Y68)</f>
        <v>33030.4534315234</v>
      </c>
      <c r="AA68" s="5" t="n">
        <f aca="false">W68*(1+Y68+DRIVERS!$B$26)*(1+DRIVERS!$B$27)</f>
        <v>38675.6581998202</v>
      </c>
      <c r="AB68" s="2" t="s">
        <v>205</v>
      </c>
      <c r="AC68" s="8"/>
    </row>
    <row r="69" customFormat="false" ht="15" hidden="false" customHeight="false" outlineLevel="0" collapsed="false">
      <c r="A69" s="2" t="s">
        <v>414</v>
      </c>
      <c r="B69" s="2" t="s">
        <v>235</v>
      </c>
      <c r="C69" s="2" t="s">
        <v>92</v>
      </c>
      <c r="D69" s="2" t="s">
        <v>415</v>
      </c>
      <c r="E69" s="2" t="s">
        <v>416</v>
      </c>
      <c r="F69" s="2" t="s">
        <v>186</v>
      </c>
      <c r="G69" s="2" t="s">
        <v>186</v>
      </c>
      <c r="H69" s="5" t="n">
        <v>4500</v>
      </c>
      <c r="I69" s="6" t="n">
        <f aca="false">INDEX(SUPPLIERS!$D$3:$D$30,MATCH(C69,SUPPLIERS!$A$3:$A$30,0))</f>
        <v>0</v>
      </c>
      <c r="J69" s="5" t="n">
        <f aca="false">H69*(1-I69)</f>
        <v>4500</v>
      </c>
      <c r="M69" s="5" t="str">
        <f aca="false">IF(K69="","",J69/K69)</f>
        <v/>
      </c>
      <c r="N69" s="2" t="n">
        <v>2.5</v>
      </c>
      <c r="O69" s="13" t="n">
        <v>0.00653</v>
      </c>
      <c r="P69" s="2" t="s">
        <v>310</v>
      </c>
      <c r="Q69" s="14" t="n">
        <f aca="false">MAX(N69/DRIVERS!$B$5,O69/DRIVERS!$B$6)</f>
        <v>0.000833333333333333</v>
      </c>
      <c r="R69" s="15" t="n">
        <f aca="false">ROUNDDOWN(1/Q69,0)</f>
        <v>1200</v>
      </c>
      <c r="S69" s="5" t="n">
        <f aca="false">DRIVERS!$B$23*Q69/DRIVERS!$B$24</f>
        <v>4.32577152321598</v>
      </c>
      <c r="T69" s="5" t="n">
        <f aca="false">J69*INDEX(DRIVERS!$C$32:$C$42,MATCH(B69,DRIVERS!$A$32:$A$42,0))</f>
        <v>0</v>
      </c>
      <c r="U69" s="5" t="n">
        <f aca="false">J69*INDEX(SUPPLIERS!$E$3:$E$30,MATCH(C69,SUPPLIERS!$A$3:$A$30,0))</f>
        <v>0</v>
      </c>
      <c r="V69" s="5" t="n">
        <v>0</v>
      </c>
      <c r="W69" s="5" t="n">
        <f aca="false">J69+S69+T69+U69+V69</f>
        <v>4504.32577152322</v>
      </c>
      <c r="X69" s="9" t="n">
        <f aca="false">W69/J69-1</f>
        <v>0.000961282560714594</v>
      </c>
      <c r="Y69" s="6" t="n">
        <f aca="false">INDEX(DRIVERS!$B$32:$B$42,MATCH(B69,DRIVERS!$A$32:$A$42,0))</f>
        <v>0.1</v>
      </c>
      <c r="Z69" s="5" t="n">
        <f aca="false">W69*(1+Y69)</f>
        <v>4954.75834867554</v>
      </c>
      <c r="AA69" s="5" t="n">
        <f aca="false">W69*(1+Y69+DRIVERS!$B$26)*(1+DRIVERS!$B$27)</f>
        <v>5801.5715937219</v>
      </c>
      <c r="AB69" s="2" t="s">
        <v>218</v>
      </c>
      <c r="AC69" s="8"/>
    </row>
    <row r="70" customFormat="false" ht="15" hidden="false" customHeight="false" outlineLevel="0" collapsed="false">
      <c r="A70" s="2" t="s">
        <v>417</v>
      </c>
      <c r="B70" s="2" t="s">
        <v>235</v>
      </c>
      <c r="C70" s="2" t="s">
        <v>92</v>
      </c>
      <c r="D70" s="2" t="s">
        <v>418</v>
      </c>
      <c r="E70" s="2" t="s">
        <v>416</v>
      </c>
      <c r="F70" s="2" t="s">
        <v>186</v>
      </c>
      <c r="G70" s="2" t="s">
        <v>186</v>
      </c>
      <c r="H70" s="5" t="n">
        <v>5500</v>
      </c>
      <c r="I70" s="6" t="n">
        <f aca="false">INDEX(SUPPLIERS!$D$3:$D$30,MATCH(C70,SUPPLIERS!$A$3:$A$30,0))</f>
        <v>0</v>
      </c>
      <c r="J70" s="5" t="n">
        <f aca="false">H70*(1-I70)</f>
        <v>5500</v>
      </c>
      <c r="M70" s="5" t="str">
        <f aca="false">IF(K70="","",J70/K70)</f>
        <v/>
      </c>
      <c r="N70" s="2" t="n">
        <v>3.9</v>
      </c>
      <c r="O70" s="13" t="n">
        <v>0.01612</v>
      </c>
      <c r="P70" s="2" t="s">
        <v>310</v>
      </c>
      <c r="Q70" s="14" t="n">
        <f aca="false">MAX(N70/DRIVERS!$B$5,O70/DRIVERS!$B$6)</f>
        <v>0.0013</v>
      </c>
      <c r="R70" s="15" t="n">
        <f aca="false">ROUNDDOWN(1/Q70,0)</f>
        <v>769</v>
      </c>
      <c r="S70" s="5" t="n">
        <f aca="false">DRIVERS!$B$23*Q70/DRIVERS!$B$24</f>
        <v>6.74820357621693</v>
      </c>
      <c r="T70" s="5" t="n">
        <f aca="false">J70*INDEX(DRIVERS!$C$32:$C$42,MATCH(B70,DRIVERS!$A$32:$A$42,0))</f>
        <v>0</v>
      </c>
      <c r="U70" s="5" t="n">
        <f aca="false">J70*INDEX(SUPPLIERS!$E$3:$E$30,MATCH(C70,SUPPLIERS!$A$3:$A$30,0))</f>
        <v>0</v>
      </c>
      <c r="V70" s="5" t="n">
        <v>0</v>
      </c>
      <c r="W70" s="5" t="n">
        <f aca="false">J70+S70+T70+U70+V70</f>
        <v>5506.74820357622</v>
      </c>
      <c r="X70" s="9" t="n">
        <f aca="false">W70/J70-1</f>
        <v>0.0012269461047667</v>
      </c>
      <c r="Y70" s="6" t="n">
        <f aca="false">INDEX(DRIVERS!$B$32:$B$42,MATCH(B70,DRIVERS!$A$32:$A$42,0))</f>
        <v>0.1</v>
      </c>
      <c r="Z70" s="5" t="n">
        <f aca="false">W70*(1+Y70)</f>
        <v>6057.42302393384</v>
      </c>
      <c r="AA70" s="5" t="n">
        <f aca="false">W70*(1+Y70+DRIVERS!$B$26)*(1+DRIVERS!$B$27)</f>
        <v>7092.69168620617</v>
      </c>
      <c r="AB70" s="2" t="s">
        <v>218</v>
      </c>
      <c r="AC70" s="8"/>
    </row>
    <row r="71" customFormat="false" ht="15" hidden="false" customHeight="false" outlineLevel="0" collapsed="false">
      <c r="A71" s="2" t="s">
        <v>419</v>
      </c>
      <c r="B71" s="2" t="s">
        <v>235</v>
      </c>
      <c r="C71" s="2" t="s">
        <v>92</v>
      </c>
      <c r="D71" s="2" t="s">
        <v>420</v>
      </c>
      <c r="E71" s="2" t="s">
        <v>416</v>
      </c>
      <c r="F71" s="2" t="s">
        <v>186</v>
      </c>
      <c r="G71" s="2" t="s">
        <v>186</v>
      </c>
      <c r="H71" s="5" t="n">
        <v>6500</v>
      </c>
      <c r="I71" s="6" t="n">
        <f aca="false">INDEX(SUPPLIERS!$D$3:$D$30,MATCH(C71,SUPPLIERS!$A$3:$A$30,0))</f>
        <v>0</v>
      </c>
      <c r="J71" s="5" t="n">
        <f aca="false">H71*(1-I71)</f>
        <v>6500</v>
      </c>
      <c r="M71" s="5" t="str">
        <f aca="false">IF(K71="","",J71/K71)</f>
        <v/>
      </c>
      <c r="N71" s="2" t="n">
        <v>0.95</v>
      </c>
      <c r="O71" s="13" t="n">
        <v>0.00294</v>
      </c>
      <c r="P71" s="2" t="s">
        <v>310</v>
      </c>
      <c r="Q71" s="14" t="n">
        <f aca="false">MAX(N71/DRIVERS!$B$5,O71/DRIVERS!$B$6)</f>
        <v>0.000316666666666667</v>
      </c>
      <c r="R71" s="15" t="n">
        <f aca="false">ROUNDDOWN(1/Q71,0)</f>
        <v>3157</v>
      </c>
      <c r="S71" s="5" t="n">
        <f aca="false">DRIVERS!$B$23*Q71/DRIVERS!$B$24</f>
        <v>1.64379317882207</v>
      </c>
      <c r="T71" s="5" t="n">
        <f aca="false">J71*INDEX(DRIVERS!$C$32:$C$42,MATCH(B71,DRIVERS!$A$32:$A$42,0))</f>
        <v>0</v>
      </c>
      <c r="U71" s="5" t="n">
        <f aca="false">J71*INDEX(SUPPLIERS!$E$3:$E$30,MATCH(C71,SUPPLIERS!$A$3:$A$30,0))</f>
        <v>0</v>
      </c>
      <c r="V71" s="5" t="n">
        <v>0</v>
      </c>
      <c r="W71" s="5" t="n">
        <f aca="false">J71+S71+T71+U71+V71</f>
        <v>6501.64379317882</v>
      </c>
      <c r="X71" s="9" t="n">
        <f aca="false">W71/J71-1</f>
        <v>0.00025289125828043</v>
      </c>
      <c r="Y71" s="6" t="n">
        <f aca="false">INDEX(DRIVERS!$B$32:$B$42,MATCH(B71,DRIVERS!$A$32:$A$42,0))</f>
        <v>0.1</v>
      </c>
      <c r="Z71" s="5" t="n">
        <f aca="false">W71*(1+Y71)</f>
        <v>7151.80817249671</v>
      </c>
      <c r="AA71" s="5" t="n">
        <f aca="false">W71*(1+Y71+DRIVERS!$B$26)*(1+DRIVERS!$B$27)</f>
        <v>8374.11720561432</v>
      </c>
      <c r="AB71" s="2" t="s">
        <v>218</v>
      </c>
      <c r="AC71" s="8"/>
    </row>
    <row r="72" customFormat="false" ht="15" hidden="false" customHeight="false" outlineLevel="0" collapsed="false">
      <c r="A72" s="2" t="s">
        <v>421</v>
      </c>
      <c r="B72" s="2" t="s">
        <v>235</v>
      </c>
      <c r="C72" s="2" t="s">
        <v>92</v>
      </c>
      <c r="D72" s="2" t="s">
        <v>422</v>
      </c>
      <c r="E72" s="2" t="s">
        <v>423</v>
      </c>
      <c r="F72" s="2" t="s">
        <v>186</v>
      </c>
      <c r="G72" s="2" t="s">
        <v>186</v>
      </c>
      <c r="H72" s="5" t="n">
        <v>28000</v>
      </c>
      <c r="I72" s="6" t="n">
        <f aca="false">INDEX(SUPPLIERS!$D$3:$D$30,MATCH(C72,SUPPLIERS!$A$3:$A$30,0))</f>
        <v>0</v>
      </c>
      <c r="J72" s="5" t="n">
        <f aca="false">H72*(1-I72)</f>
        <v>28000</v>
      </c>
      <c r="K72" s="2" t="n">
        <v>8</v>
      </c>
      <c r="L72" s="2" t="s">
        <v>238</v>
      </c>
      <c r="M72" s="5" t="n">
        <f aca="false">IF(K72="","",J72/K72)</f>
        <v>3500</v>
      </c>
      <c r="N72" s="2" t="n">
        <v>18</v>
      </c>
      <c r="O72" s="13" t="n">
        <v>0.05</v>
      </c>
      <c r="P72" s="2" t="s">
        <v>310</v>
      </c>
      <c r="Q72" s="14" t="n">
        <f aca="false">MAX(N72/DRIVERS!$B$5,O72/DRIVERS!$B$6)</f>
        <v>0.006</v>
      </c>
      <c r="R72" s="15" t="n">
        <f aca="false">ROUNDDOWN(1/Q72,0)</f>
        <v>166</v>
      </c>
      <c r="S72" s="5" t="n">
        <f aca="false">DRIVERS!$B$23*Q72/DRIVERS!$B$24</f>
        <v>31.1455549671551</v>
      </c>
      <c r="T72" s="5" t="n">
        <f aca="false">J72*INDEX(DRIVERS!$C$32:$C$42,MATCH(B72,DRIVERS!$A$32:$A$42,0))</f>
        <v>0</v>
      </c>
      <c r="U72" s="5" t="n">
        <f aca="false">J72*INDEX(SUPPLIERS!$E$3:$E$30,MATCH(C72,SUPPLIERS!$A$3:$A$30,0))</f>
        <v>0</v>
      </c>
      <c r="V72" s="5" t="n">
        <v>0</v>
      </c>
      <c r="W72" s="5" t="n">
        <f aca="false">J72+S72+T72+U72+V72</f>
        <v>28031.1455549672</v>
      </c>
      <c r="X72" s="9" t="n">
        <f aca="false">W72/J72-1</f>
        <v>0.00111234124882698</v>
      </c>
      <c r="Y72" s="6" t="n">
        <f aca="false">INDEX(DRIVERS!$B$32:$B$42,MATCH(B72,DRIVERS!$A$32:$A$42,0))</f>
        <v>0.1</v>
      </c>
      <c r="Z72" s="5" t="n">
        <f aca="false">W72*(1+Y72)</f>
        <v>30834.2601104639</v>
      </c>
      <c r="AA72" s="5" t="n">
        <f aca="false">W72*(1+Y72+DRIVERS!$B$26)*(1+DRIVERS!$B$27)</f>
        <v>36104.1154747977</v>
      </c>
      <c r="AB72" s="2" t="s">
        <v>218</v>
      </c>
      <c r="AC72" s="8"/>
    </row>
    <row r="73" customFormat="false" ht="15" hidden="false" customHeight="false" outlineLevel="0" collapsed="false">
      <c r="A73" s="2" t="s">
        <v>424</v>
      </c>
      <c r="B73" s="2" t="s">
        <v>235</v>
      </c>
      <c r="C73" s="2" t="s">
        <v>92</v>
      </c>
      <c r="D73" s="2" t="s">
        <v>425</v>
      </c>
      <c r="E73" s="2" t="s">
        <v>426</v>
      </c>
      <c r="F73" s="2" t="s">
        <v>186</v>
      </c>
      <c r="G73" s="2" t="s">
        <v>186</v>
      </c>
      <c r="H73" s="5" t="n">
        <v>35000</v>
      </c>
      <c r="I73" s="6" t="n">
        <f aca="false">INDEX(SUPPLIERS!$D$3:$D$30,MATCH(C73,SUPPLIERS!$A$3:$A$30,0))</f>
        <v>0</v>
      </c>
      <c r="J73" s="5" t="n">
        <f aca="false">H73*(1-I73)</f>
        <v>35000</v>
      </c>
      <c r="K73" s="2" t="n">
        <v>10</v>
      </c>
      <c r="L73" s="2" t="s">
        <v>238</v>
      </c>
      <c r="M73" s="5" t="n">
        <f aca="false">IF(K73="","",J73/K73)</f>
        <v>3500</v>
      </c>
      <c r="N73" s="2" t="n">
        <v>18</v>
      </c>
      <c r="O73" s="13" t="n">
        <v>0.07093</v>
      </c>
      <c r="P73" s="2" t="s">
        <v>310</v>
      </c>
      <c r="Q73" s="14" t="n">
        <f aca="false">MAX(N73/DRIVERS!$B$5,O73/DRIVERS!$B$6)</f>
        <v>0.006</v>
      </c>
      <c r="R73" s="15" t="n">
        <f aca="false">ROUNDDOWN(1/Q73,0)</f>
        <v>166</v>
      </c>
      <c r="S73" s="5" t="n">
        <f aca="false">DRIVERS!$B$23*Q73/DRIVERS!$B$24</f>
        <v>31.1455549671551</v>
      </c>
      <c r="T73" s="5" t="n">
        <f aca="false">J73*INDEX(DRIVERS!$C$32:$C$42,MATCH(B73,DRIVERS!$A$32:$A$42,0))</f>
        <v>0</v>
      </c>
      <c r="U73" s="5" t="n">
        <f aca="false">J73*INDEX(SUPPLIERS!$E$3:$E$30,MATCH(C73,SUPPLIERS!$A$3:$A$30,0))</f>
        <v>0</v>
      </c>
      <c r="V73" s="5" t="n">
        <v>0</v>
      </c>
      <c r="W73" s="5" t="n">
        <f aca="false">J73+S73+T73+U73+V73</f>
        <v>35031.1455549672</v>
      </c>
      <c r="X73" s="9" t="n">
        <f aca="false">W73/J73-1</f>
        <v>0.000889872999061403</v>
      </c>
      <c r="Y73" s="6" t="n">
        <f aca="false">INDEX(DRIVERS!$B$32:$B$42,MATCH(B73,DRIVERS!$A$32:$A$42,0))</f>
        <v>0.1</v>
      </c>
      <c r="Z73" s="5" t="n">
        <f aca="false">W73*(1+Y73)</f>
        <v>38534.2601104639</v>
      </c>
      <c r="AA73" s="5" t="n">
        <f aca="false">W73*(1+Y73+DRIVERS!$B$26)*(1+DRIVERS!$B$27)</f>
        <v>45120.1154747977</v>
      </c>
      <c r="AB73" s="2" t="s">
        <v>218</v>
      </c>
      <c r="AC73" s="8"/>
    </row>
    <row r="74" customFormat="false" ht="15" hidden="false" customHeight="false" outlineLevel="0" collapsed="false">
      <c r="A74" s="2" t="s">
        <v>427</v>
      </c>
      <c r="B74" s="2" t="s">
        <v>235</v>
      </c>
      <c r="C74" s="2" t="s">
        <v>92</v>
      </c>
      <c r="D74" s="2" t="s">
        <v>428</v>
      </c>
      <c r="E74" s="2" t="s">
        <v>429</v>
      </c>
      <c r="F74" s="2" t="s">
        <v>186</v>
      </c>
      <c r="G74" s="2" t="s">
        <v>186</v>
      </c>
      <c r="H74" s="5" t="n">
        <v>25000</v>
      </c>
      <c r="I74" s="6" t="n">
        <f aca="false">INDEX(SUPPLIERS!$D$3:$D$30,MATCH(C74,SUPPLIERS!$A$3:$A$30,0))</f>
        <v>0</v>
      </c>
      <c r="J74" s="5" t="n">
        <f aca="false">H74*(1-I74)</f>
        <v>25000</v>
      </c>
      <c r="K74" s="2" t="n">
        <v>6</v>
      </c>
      <c r="L74" s="2" t="s">
        <v>238</v>
      </c>
      <c r="M74" s="5" t="n">
        <f aca="false">IF(K74="","",J74/K74)</f>
        <v>4166.66666666667</v>
      </c>
      <c r="N74" s="2" t="n">
        <v>9.5</v>
      </c>
      <c r="O74" s="13" t="n">
        <v>0.05676</v>
      </c>
      <c r="P74" s="2" t="s">
        <v>310</v>
      </c>
      <c r="Q74" s="14" t="n">
        <f aca="false">MAX(N74/DRIVERS!$B$5,O74/DRIVERS!$B$6)</f>
        <v>0.00397642076446775</v>
      </c>
      <c r="R74" s="15" t="n">
        <f aca="false">ROUNDDOWN(1/Q74,0)</f>
        <v>251</v>
      </c>
      <c r="S74" s="5" t="n">
        <f aca="false">DRIVERS!$B$23*Q74/DRIVERS!$B$24</f>
        <v>20.6413052487112</v>
      </c>
      <c r="T74" s="5" t="n">
        <f aca="false">J74*INDEX(DRIVERS!$C$32:$C$42,MATCH(B74,DRIVERS!$A$32:$A$42,0))</f>
        <v>0</v>
      </c>
      <c r="U74" s="5" t="n">
        <f aca="false">J74*INDEX(SUPPLIERS!$E$3:$E$30,MATCH(C74,SUPPLIERS!$A$3:$A$30,0))</f>
        <v>0</v>
      </c>
      <c r="V74" s="5" t="n">
        <v>0</v>
      </c>
      <c r="W74" s="5" t="n">
        <f aca="false">J74+S74+T74+U74+V74</f>
        <v>25020.6413052487</v>
      </c>
      <c r="X74" s="9" t="n">
        <f aca="false">W74/J74-1</f>
        <v>0.000825652209948347</v>
      </c>
      <c r="Y74" s="6" t="n">
        <f aca="false">INDEX(DRIVERS!$B$32:$B$42,MATCH(B74,DRIVERS!$A$32:$A$42,0))</f>
        <v>0.1</v>
      </c>
      <c r="Z74" s="5" t="n">
        <f aca="false">W74*(1+Y74)</f>
        <v>27522.7054357736</v>
      </c>
      <c r="AA74" s="5" t="n">
        <f aca="false">W74*(1+Y74+DRIVERS!$B$26)*(1+DRIVERS!$B$27)</f>
        <v>32226.5860011603</v>
      </c>
      <c r="AB74" s="2" t="s">
        <v>218</v>
      </c>
      <c r="AC74" s="8"/>
    </row>
    <row r="75" customFormat="false" ht="15" hidden="false" customHeight="false" outlineLevel="0" collapsed="false">
      <c r="A75" s="2" t="s">
        <v>430</v>
      </c>
      <c r="B75" s="2" t="s">
        <v>235</v>
      </c>
      <c r="C75" s="2" t="s">
        <v>92</v>
      </c>
      <c r="D75" s="2" t="s">
        <v>431</v>
      </c>
      <c r="E75" s="2" t="s">
        <v>432</v>
      </c>
      <c r="F75" s="2" t="s">
        <v>186</v>
      </c>
      <c r="G75" s="2" t="s">
        <v>186</v>
      </c>
      <c r="H75" s="5" t="n">
        <v>16000</v>
      </c>
      <c r="I75" s="6" t="n">
        <f aca="false">INDEX(SUPPLIERS!$D$3:$D$30,MATCH(C75,SUPPLIERS!$A$3:$A$30,0))</f>
        <v>0</v>
      </c>
      <c r="J75" s="5" t="n">
        <f aca="false">H75*(1-I75)</f>
        <v>16000</v>
      </c>
      <c r="K75" s="2" t="n">
        <v>3.6</v>
      </c>
      <c r="L75" s="2" t="s">
        <v>238</v>
      </c>
      <c r="M75" s="5" t="n">
        <f aca="false">IF(K75="","",J75/K75)</f>
        <v>4444.44444444444</v>
      </c>
      <c r="N75" s="2" t="n">
        <v>13.5</v>
      </c>
      <c r="O75" s="13" t="n">
        <v>0.05084</v>
      </c>
      <c r="P75" s="2" t="s">
        <v>310</v>
      </c>
      <c r="Q75" s="14" t="n">
        <f aca="false">MAX(N75/DRIVERS!$B$5,O75/DRIVERS!$B$6)</f>
        <v>0.0045</v>
      </c>
      <c r="R75" s="15" t="n">
        <f aca="false">ROUNDDOWN(1/Q75,0)</f>
        <v>222</v>
      </c>
      <c r="S75" s="5" t="n">
        <f aca="false">DRIVERS!$B$23*Q75/DRIVERS!$B$24</f>
        <v>23.3591662253663</v>
      </c>
      <c r="T75" s="5" t="n">
        <f aca="false">J75*INDEX(DRIVERS!$C$32:$C$42,MATCH(B75,DRIVERS!$A$32:$A$42,0))</f>
        <v>0</v>
      </c>
      <c r="U75" s="5" t="n">
        <f aca="false">J75*INDEX(SUPPLIERS!$E$3:$E$30,MATCH(C75,SUPPLIERS!$A$3:$A$30,0))</f>
        <v>0</v>
      </c>
      <c r="V75" s="5" t="n">
        <v>0</v>
      </c>
      <c r="W75" s="5" t="n">
        <f aca="false">J75+S75+T75+U75+V75</f>
        <v>16023.3591662254</v>
      </c>
      <c r="X75" s="9" t="n">
        <f aca="false">W75/J75-1</f>
        <v>0.00145994788908532</v>
      </c>
      <c r="Y75" s="6" t="n">
        <f aca="false">INDEX(DRIVERS!$B$32:$B$42,MATCH(B75,DRIVERS!$A$32:$A$42,0))</f>
        <v>0.1</v>
      </c>
      <c r="Z75" s="5" t="n">
        <f aca="false">W75*(1+Y75)</f>
        <v>17625.6950828479</v>
      </c>
      <c r="AA75" s="5" t="n">
        <f aca="false">W75*(1+Y75+DRIVERS!$B$26)*(1+DRIVERS!$B$27)</f>
        <v>20638.0866060983</v>
      </c>
      <c r="AB75" s="2" t="s">
        <v>218</v>
      </c>
      <c r="AC75" s="8"/>
    </row>
    <row r="76" customFormat="false" ht="15" hidden="false" customHeight="false" outlineLevel="0" collapsed="false">
      <c r="A76" s="2" t="s">
        <v>433</v>
      </c>
      <c r="B76" s="2" t="s">
        <v>235</v>
      </c>
      <c r="C76" s="2" t="s">
        <v>92</v>
      </c>
      <c r="D76" s="2" t="s">
        <v>434</v>
      </c>
      <c r="E76" s="2" t="s">
        <v>435</v>
      </c>
      <c r="F76" s="2" t="s">
        <v>186</v>
      </c>
      <c r="G76" s="2" t="s">
        <v>186</v>
      </c>
      <c r="H76" s="5" t="n">
        <v>100000</v>
      </c>
      <c r="I76" s="6" t="n">
        <f aca="false">INDEX(SUPPLIERS!$D$3:$D$30,MATCH(C76,SUPPLIERS!$A$3:$A$30,0))</f>
        <v>0</v>
      </c>
      <c r="J76" s="5" t="n">
        <f aca="false">H76*(1-I76)</f>
        <v>100000</v>
      </c>
      <c r="K76" s="2" t="n">
        <v>50</v>
      </c>
      <c r="L76" s="2" t="s">
        <v>238</v>
      </c>
      <c r="M76" s="5" t="n">
        <f aca="false">IF(K76="","",J76/K76)</f>
        <v>2000</v>
      </c>
      <c r="N76" s="2" t="n">
        <v>45</v>
      </c>
      <c r="O76" s="13" t="n">
        <v>0.1134</v>
      </c>
      <c r="P76" s="2" t="s">
        <v>310</v>
      </c>
      <c r="Q76" s="14" t="n">
        <f aca="false">MAX(N76/DRIVERS!$B$5,O76/DRIVERS!$B$6)</f>
        <v>0.015</v>
      </c>
      <c r="R76" s="15" t="n">
        <f aca="false">ROUNDDOWN(1/Q76,0)</f>
        <v>66</v>
      </c>
      <c r="S76" s="5" t="n">
        <f aca="false">DRIVERS!$B$23*Q76/DRIVERS!$B$24</f>
        <v>77.8638874178877</v>
      </c>
      <c r="T76" s="5" t="n">
        <f aca="false">J76*INDEX(DRIVERS!$C$32:$C$42,MATCH(B76,DRIVERS!$A$32:$A$42,0))</f>
        <v>0</v>
      </c>
      <c r="U76" s="5" t="n">
        <f aca="false">J76*INDEX(SUPPLIERS!$E$3:$E$30,MATCH(C76,SUPPLIERS!$A$3:$A$30,0))</f>
        <v>0</v>
      </c>
      <c r="V76" s="5" t="n">
        <v>0</v>
      </c>
      <c r="W76" s="5" t="n">
        <f aca="false">J76+S76+T76+U76+V76</f>
        <v>100077.863887418</v>
      </c>
      <c r="X76" s="9" t="n">
        <f aca="false">W76/J76-1</f>
        <v>0.000778638874178839</v>
      </c>
      <c r="Y76" s="6" t="n">
        <f aca="false">INDEX(DRIVERS!$B$32:$B$42,MATCH(B76,DRIVERS!$A$32:$A$42,0))</f>
        <v>0.1</v>
      </c>
      <c r="Z76" s="5" t="n">
        <f aca="false">W76*(1+Y76)</f>
        <v>110085.65027616</v>
      </c>
      <c r="AA76" s="5" t="n">
        <f aca="false">W76*(1+Y76+DRIVERS!$B$26)*(1+DRIVERS!$B$27)</f>
        <v>128900.288686994</v>
      </c>
      <c r="AB76" s="2" t="s">
        <v>218</v>
      </c>
      <c r="AC76" s="8"/>
    </row>
    <row r="77" customFormat="false" ht="15" hidden="false" customHeight="false" outlineLevel="0" collapsed="false">
      <c r="A77" s="2" t="s">
        <v>436</v>
      </c>
      <c r="B77" s="2" t="s">
        <v>235</v>
      </c>
      <c r="C77" s="2" t="s">
        <v>92</v>
      </c>
      <c r="D77" s="2" t="s">
        <v>437</v>
      </c>
      <c r="E77" s="2" t="s">
        <v>438</v>
      </c>
      <c r="F77" s="2" t="s">
        <v>186</v>
      </c>
      <c r="G77" s="2" t="s">
        <v>186</v>
      </c>
      <c r="H77" s="5" t="n">
        <v>200000</v>
      </c>
      <c r="I77" s="6" t="n">
        <f aca="false">INDEX(SUPPLIERS!$D$3:$D$30,MATCH(C77,SUPPLIERS!$A$3:$A$30,0))</f>
        <v>0</v>
      </c>
      <c r="J77" s="5" t="n">
        <f aca="false">H77*(1-I77)</f>
        <v>200000</v>
      </c>
      <c r="K77" s="2" t="n">
        <v>100</v>
      </c>
      <c r="L77" s="2" t="s">
        <v>238</v>
      </c>
      <c r="M77" s="5" t="n">
        <f aca="false">IF(K77="","",J77/K77)</f>
        <v>2000</v>
      </c>
      <c r="N77" s="2" t="n">
        <v>96</v>
      </c>
      <c r="O77" s="13" t="n">
        <v>0.50358</v>
      </c>
      <c r="P77" s="2" t="s">
        <v>310</v>
      </c>
      <c r="Q77" s="14" t="n">
        <f aca="false">MAX(N77/DRIVERS!$B$5,O77/DRIVERS!$B$6)</f>
        <v>0.0352791749219639</v>
      </c>
      <c r="R77" s="15" t="n">
        <f aca="false">ROUNDDOWN(1/Q77,0)</f>
        <v>28</v>
      </c>
      <c r="S77" s="5" t="n">
        <f aca="false">DRIVERS!$B$23*Q77/DRIVERS!$B$24</f>
        <v>183.131580287984</v>
      </c>
      <c r="T77" s="5" t="n">
        <f aca="false">J77*INDEX(DRIVERS!$C$32:$C$42,MATCH(B77,DRIVERS!$A$32:$A$42,0))</f>
        <v>0</v>
      </c>
      <c r="U77" s="5" t="n">
        <f aca="false">J77*INDEX(SUPPLIERS!$E$3:$E$30,MATCH(C77,SUPPLIERS!$A$3:$A$30,0))</f>
        <v>0</v>
      </c>
      <c r="V77" s="5" t="n">
        <v>0</v>
      </c>
      <c r="W77" s="5" t="n">
        <f aca="false">J77+S77+T77+U77+V77</f>
        <v>200183.131580288</v>
      </c>
      <c r="X77" s="9" t="n">
        <f aca="false">W77/J77-1</f>
        <v>0.000915657901439992</v>
      </c>
      <c r="Y77" s="6" t="n">
        <f aca="false">INDEX(DRIVERS!$B$32:$B$42,MATCH(B77,DRIVERS!$A$32:$A$42,0))</f>
        <v>0.1</v>
      </c>
      <c r="Z77" s="5" t="n">
        <f aca="false">W77*(1+Y77)</f>
        <v>220201.444738317</v>
      </c>
      <c r="AA77" s="5" t="n">
        <f aca="false">W77*(1+Y77+DRIVERS!$B$26)*(1+DRIVERS!$B$27)</f>
        <v>257835.873475411</v>
      </c>
      <c r="AB77" s="2" t="s">
        <v>218</v>
      </c>
      <c r="AC77" s="8"/>
    </row>
    <row r="78" customFormat="false" ht="15" hidden="false" customHeight="false" outlineLevel="0" collapsed="false">
      <c r="A78" s="2" t="s">
        <v>439</v>
      </c>
      <c r="B78" s="2" t="s">
        <v>235</v>
      </c>
      <c r="C78" s="2" t="s">
        <v>92</v>
      </c>
      <c r="D78" s="2" t="s">
        <v>440</v>
      </c>
      <c r="E78" s="2" t="s">
        <v>441</v>
      </c>
      <c r="F78" s="2" t="s">
        <v>186</v>
      </c>
      <c r="G78" s="2" t="s">
        <v>186</v>
      </c>
      <c r="H78" s="5" t="n">
        <v>250000</v>
      </c>
      <c r="I78" s="6" t="n">
        <f aca="false">INDEX(SUPPLIERS!$D$3:$D$30,MATCH(C78,SUPPLIERS!$A$3:$A$30,0))</f>
        <v>0</v>
      </c>
      <c r="J78" s="5" t="n">
        <f aca="false">H78*(1-I78)</f>
        <v>250000</v>
      </c>
      <c r="K78" s="2" t="n">
        <v>125</v>
      </c>
      <c r="L78" s="2" t="s">
        <v>238</v>
      </c>
      <c r="M78" s="5" t="n">
        <f aca="false">IF(K78="","",J78/K78)</f>
        <v>2000</v>
      </c>
      <c r="N78" s="2" t="n">
        <v>113</v>
      </c>
      <c r="O78" s="13" t="n">
        <v>0.264</v>
      </c>
      <c r="P78" s="2" t="s">
        <v>310</v>
      </c>
      <c r="Q78" s="14" t="n">
        <f aca="false">MAX(N78/DRIVERS!$B$5,O78/DRIVERS!$B$6)</f>
        <v>0.0376666666666667</v>
      </c>
      <c r="R78" s="15" t="n">
        <f aca="false">ROUNDDOWN(1/Q78,0)</f>
        <v>26</v>
      </c>
      <c r="S78" s="5" t="n">
        <f aca="false">DRIVERS!$B$23*Q78/DRIVERS!$B$24</f>
        <v>195.524872849362</v>
      </c>
      <c r="T78" s="5" t="n">
        <f aca="false">J78*INDEX(DRIVERS!$C$32:$C$42,MATCH(B78,DRIVERS!$A$32:$A$42,0))</f>
        <v>0</v>
      </c>
      <c r="U78" s="5" t="n">
        <f aca="false">J78*INDEX(SUPPLIERS!$E$3:$E$30,MATCH(C78,SUPPLIERS!$A$3:$A$30,0))</f>
        <v>0</v>
      </c>
      <c r="V78" s="5" t="n">
        <v>0</v>
      </c>
      <c r="W78" s="5" t="n">
        <f aca="false">J78+S78+T78+U78+V78</f>
        <v>250195.524872849</v>
      </c>
      <c r="X78" s="9" t="n">
        <f aca="false">W78/J78-1</f>
        <v>0.000782099491397403</v>
      </c>
      <c r="Y78" s="6" t="n">
        <f aca="false">INDEX(DRIVERS!$B$32:$B$42,MATCH(B78,DRIVERS!$A$32:$A$42,0))</f>
        <v>0.1</v>
      </c>
      <c r="Z78" s="5" t="n">
        <f aca="false">W78*(1+Y78)</f>
        <v>275215.077360134</v>
      </c>
      <c r="AA78" s="5" t="n">
        <f aca="false">W78*(1+Y78+DRIVERS!$B$26)*(1+DRIVERS!$B$27)</f>
        <v>322251.83603623</v>
      </c>
      <c r="AB78" s="2" t="s">
        <v>218</v>
      </c>
      <c r="AC78" s="8"/>
    </row>
    <row r="79" customFormat="false" ht="15" hidden="false" customHeight="false" outlineLevel="0" collapsed="false">
      <c r="A79" s="2" t="s">
        <v>442</v>
      </c>
      <c r="B79" s="2" t="s">
        <v>235</v>
      </c>
      <c r="C79" s="2" t="s">
        <v>92</v>
      </c>
      <c r="D79" s="2" t="s">
        <v>443</v>
      </c>
      <c r="E79" s="2" t="s">
        <v>444</v>
      </c>
      <c r="F79" s="2" t="s">
        <v>186</v>
      </c>
      <c r="G79" s="2" t="s">
        <v>186</v>
      </c>
      <c r="H79" s="5" t="n">
        <v>200000</v>
      </c>
      <c r="I79" s="6" t="n">
        <f aca="false">INDEX(SUPPLIERS!$D$3:$D$30,MATCH(C79,SUPPLIERS!$A$3:$A$30,0))</f>
        <v>0</v>
      </c>
      <c r="J79" s="5" t="n">
        <f aca="false">H79*(1-I79)</f>
        <v>200000</v>
      </c>
      <c r="K79" s="2" t="n">
        <v>75</v>
      </c>
      <c r="L79" s="2" t="s">
        <v>238</v>
      </c>
      <c r="M79" s="5" t="n">
        <f aca="false">IF(K79="","",J79/K79)</f>
        <v>2666.66666666667</v>
      </c>
      <c r="N79" s="2" t="n">
        <v>120</v>
      </c>
      <c r="O79" s="13" t="n">
        <v>0.36984</v>
      </c>
      <c r="P79" s="2" t="s">
        <v>445</v>
      </c>
      <c r="Q79" s="14" t="n">
        <f aca="false">MAX(N79/DRIVERS!$B$5,O79/DRIVERS!$B$6)</f>
        <v>0.04</v>
      </c>
      <c r="R79" s="15" t="n">
        <f aca="false">ROUNDDOWN(1/Q79,0)</f>
        <v>25</v>
      </c>
      <c r="S79" s="5" t="n">
        <f aca="false">DRIVERS!$B$23*Q79/DRIVERS!$B$24</f>
        <v>207.637033114367</v>
      </c>
      <c r="T79" s="5" t="n">
        <f aca="false">J79*INDEX(DRIVERS!$C$32:$C$42,MATCH(B79,DRIVERS!$A$32:$A$42,0))</f>
        <v>0</v>
      </c>
      <c r="U79" s="5" t="n">
        <f aca="false">J79*INDEX(SUPPLIERS!$E$3:$E$30,MATCH(C79,SUPPLIERS!$A$3:$A$30,0))</f>
        <v>0</v>
      </c>
      <c r="V79" s="5" t="n">
        <v>0</v>
      </c>
      <c r="W79" s="5" t="n">
        <f aca="false">J79+S79+T79+U79+V79</f>
        <v>200207.637033114</v>
      </c>
      <c r="X79" s="9" t="n">
        <f aca="false">W79/J79-1</f>
        <v>0.00103818516557186</v>
      </c>
      <c r="Y79" s="6" t="n">
        <f aca="false">INDEX(DRIVERS!$B$32:$B$42,MATCH(B79,DRIVERS!$A$32:$A$42,0))</f>
        <v>0.1</v>
      </c>
      <c r="Z79" s="5" t="n">
        <f aca="false">W79*(1+Y79)</f>
        <v>220228.400736426</v>
      </c>
      <c r="AA79" s="5" t="n">
        <f aca="false">W79*(1+Y79+DRIVERS!$B$26)*(1+DRIVERS!$B$27)</f>
        <v>257867.436498651</v>
      </c>
      <c r="AB79" s="2" t="s">
        <v>218</v>
      </c>
      <c r="AC79" s="8"/>
    </row>
    <row r="80" customFormat="false" ht="15" hidden="false" customHeight="false" outlineLevel="0" collapsed="false">
      <c r="A80" s="2" t="s">
        <v>446</v>
      </c>
      <c r="B80" s="2" t="s">
        <v>235</v>
      </c>
      <c r="C80" s="2" t="s">
        <v>92</v>
      </c>
      <c r="D80" s="2" t="s">
        <v>447</v>
      </c>
      <c r="E80" s="2" t="s">
        <v>448</v>
      </c>
      <c r="F80" s="2" t="s">
        <v>186</v>
      </c>
      <c r="G80" s="2" t="s">
        <v>186</v>
      </c>
      <c r="H80" s="5" t="n">
        <v>150000</v>
      </c>
      <c r="I80" s="6" t="n">
        <f aca="false">INDEX(SUPPLIERS!$D$3:$D$30,MATCH(C80,SUPPLIERS!$A$3:$A$30,0))</f>
        <v>0</v>
      </c>
      <c r="J80" s="5" t="n">
        <f aca="false">H80*(1-I80)</f>
        <v>150000</v>
      </c>
      <c r="K80" s="2" t="n">
        <v>50</v>
      </c>
      <c r="L80" s="2" t="s">
        <v>238</v>
      </c>
      <c r="M80" s="5" t="n">
        <f aca="false">IF(K80="","",J80/K80)</f>
        <v>3000</v>
      </c>
      <c r="N80" s="2" t="n">
        <v>80</v>
      </c>
      <c r="O80" s="13" t="n">
        <v>0.25725</v>
      </c>
      <c r="P80" s="2" t="s">
        <v>310</v>
      </c>
      <c r="Q80" s="14" t="n">
        <f aca="false">MAX(N80/DRIVERS!$B$5,O80/DRIVERS!$B$6)</f>
        <v>0.0266666666666667</v>
      </c>
      <c r="R80" s="15" t="n">
        <f aca="false">ROUNDDOWN(1/Q80,0)</f>
        <v>37</v>
      </c>
      <c r="S80" s="5" t="n">
        <f aca="false">DRIVERS!$B$23*Q80/DRIVERS!$B$24</f>
        <v>138.424688742911</v>
      </c>
      <c r="T80" s="5" t="n">
        <f aca="false">J80*INDEX(DRIVERS!$C$32:$C$42,MATCH(B80,DRIVERS!$A$32:$A$42,0))</f>
        <v>0</v>
      </c>
      <c r="U80" s="5" t="n">
        <f aca="false">J80*INDEX(SUPPLIERS!$E$3:$E$30,MATCH(C80,SUPPLIERS!$A$3:$A$30,0))</f>
        <v>0</v>
      </c>
      <c r="V80" s="5" t="n">
        <v>0</v>
      </c>
      <c r="W80" s="5" t="n">
        <f aca="false">J80+S80+T80+U80+V80</f>
        <v>150138.424688743</v>
      </c>
      <c r="X80" s="9" t="n">
        <f aca="false">W80/J80-1</f>
        <v>0.000922831258286072</v>
      </c>
      <c r="Y80" s="6" t="n">
        <f aca="false">INDEX(DRIVERS!$B$32:$B$42,MATCH(B80,DRIVERS!$A$32:$A$42,0))</f>
        <v>0.1</v>
      </c>
      <c r="Z80" s="5" t="n">
        <f aca="false">W80*(1+Y80)</f>
        <v>165152.267157617</v>
      </c>
      <c r="AA80" s="5" t="n">
        <f aca="false">W80*(1+Y80+DRIVERS!$B$26)*(1+DRIVERS!$B$27)</f>
        <v>193378.290999101</v>
      </c>
      <c r="AB80" s="2" t="s">
        <v>218</v>
      </c>
      <c r="AC80" s="8"/>
    </row>
    <row r="81" customFormat="false" ht="15" hidden="false" customHeight="false" outlineLevel="0" collapsed="false">
      <c r="A81" s="2" t="s">
        <v>449</v>
      </c>
      <c r="B81" s="2" t="s">
        <v>235</v>
      </c>
      <c r="C81" s="2" t="s">
        <v>92</v>
      </c>
      <c r="D81" s="2" t="s">
        <v>450</v>
      </c>
      <c r="E81" s="2" t="s">
        <v>451</v>
      </c>
      <c r="F81" s="2" t="s">
        <v>186</v>
      </c>
      <c r="G81" s="2" t="s">
        <v>186</v>
      </c>
      <c r="H81" s="5" t="n">
        <v>180000</v>
      </c>
      <c r="I81" s="6" t="n">
        <f aca="false">INDEX(SUPPLIERS!$D$3:$D$30,MATCH(C81,SUPPLIERS!$A$3:$A$30,0))</f>
        <v>0</v>
      </c>
      <c r="J81" s="5" t="n">
        <f aca="false">H81*(1-I81)</f>
        <v>180000</v>
      </c>
      <c r="K81" s="2" t="n">
        <v>60</v>
      </c>
      <c r="L81" s="2" t="s">
        <v>238</v>
      </c>
      <c r="M81" s="5" t="n">
        <f aca="false">IF(K81="","",J81/K81)</f>
        <v>3000</v>
      </c>
      <c r="N81" s="2" t="n">
        <v>125</v>
      </c>
      <c r="O81" s="13" t="n">
        <v>0.4025</v>
      </c>
      <c r="P81" s="2" t="s">
        <v>310</v>
      </c>
      <c r="Q81" s="14" t="n">
        <f aca="false">MAX(N81/DRIVERS!$B$5,O81/DRIVERS!$B$6)</f>
        <v>0.0416666666666667</v>
      </c>
      <c r="R81" s="15" t="n">
        <f aca="false">ROUNDDOWN(1/Q81,0)</f>
        <v>24</v>
      </c>
      <c r="S81" s="5" t="n">
        <f aca="false">DRIVERS!$B$23*Q81/DRIVERS!$B$24</f>
        <v>216.288576160799</v>
      </c>
      <c r="T81" s="5" t="n">
        <f aca="false">J81*INDEX(DRIVERS!$C$32:$C$42,MATCH(B81,DRIVERS!$A$32:$A$42,0))</f>
        <v>0</v>
      </c>
      <c r="U81" s="5" t="n">
        <f aca="false">J81*INDEX(SUPPLIERS!$E$3:$E$30,MATCH(C81,SUPPLIERS!$A$3:$A$30,0))</f>
        <v>0</v>
      </c>
      <c r="V81" s="5" t="n">
        <v>0</v>
      </c>
      <c r="W81" s="5" t="n">
        <f aca="false">J81+S81+T81+U81+V81</f>
        <v>180216.288576161</v>
      </c>
      <c r="X81" s="9" t="n">
        <f aca="false">W81/J81-1</f>
        <v>0.00120160320089324</v>
      </c>
      <c r="Y81" s="6" t="n">
        <f aca="false">INDEX(DRIVERS!$B$32:$B$42,MATCH(B81,DRIVERS!$A$32:$A$42,0))</f>
        <v>0.1</v>
      </c>
      <c r="Z81" s="5" t="n">
        <f aca="false">W81*(1+Y81)</f>
        <v>198237.917433777</v>
      </c>
      <c r="AA81" s="5" t="n">
        <f aca="false">W81*(1+Y81+DRIVERS!$B$26)*(1+DRIVERS!$B$27)</f>
        <v>232118.579686095</v>
      </c>
      <c r="AB81" s="2" t="s">
        <v>218</v>
      </c>
      <c r="AC81" s="8"/>
    </row>
    <row r="82" customFormat="false" ht="15" hidden="false" customHeight="false" outlineLevel="0" collapsed="false">
      <c r="A82" s="2" t="s">
        <v>452</v>
      </c>
      <c r="B82" s="2" t="s">
        <v>235</v>
      </c>
      <c r="C82" s="2" t="s">
        <v>92</v>
      </c>
      <c r="D82" s="2" t="s">
        <v>453</v>
      </c>
      <c r="E82" s="2" t="s">
        <v>454</v>
      </c>
      <c r="F82" s="2" t="s">
        <v>186</v>
      </c>
      <c r="G82" s="2" t="s">
        <v>186</v>
      </c>
      <c r="H82" s="5" t="n">
        <v>100000</v>
      </c>
      <c r="I82" s="6" t="n">
        <f aca="false">INDEX(SUPPLIERS!$D$3:$D$30,MATCH(C82,SUPPLIERS!$A$3:$A$30,0))</f>
        <v>0</v>
      </c>
      <c r="J82" s="5" t="n">
        <f aca="false">H82*(1-I82)</f>
        <v>100000</v>
      </c>
      <c r="K82" s="2" t="n">
        <v>30</v>
      </c>
      <c r="L82" s="2" t="s">
        <v>238</v>
      </c>
      <c r="M82" s="5" t="n">
        <f aca="false">IF(K82="","",J82/K82)</f>
        <v>3333.33333333333</v>
      </c>
      <c r="N82" s="2" t="n">
        <v>43</v>
      </c>
      <c r="O82" s="13" t="n">
        <v>0.12852</v>
      </c>
      <c r="P82" s="2" t="s">
        <v>310</v>
      </c>
      <c r="Q82" s="14" t="n">
        <f aca="false">MAX(N82/DRIVERS!$B$5,O82/DRIVERS!$B$6)</f>
        <v>0.0143333333333333</v>
      </c>
      <c r="R82" s="15" t="n">
        <f aca="false">ROUNDDOWN(1/Q82,0)</f>
        <v>69</v>
      </c>
      <c r="S82" s="5" t="n">
        <f aca="false">DRIVERS!$B$23*Q82/DRIVERS!$B$24</f>
        <v>74.4032701993149</v>
      </c>
      <c r="T82" s="5" t="n">
        <f aca="false">J82*INDEX(DRIVERS!$C$32:$C$42,MATCH(B82,DRIVERS!$A$32:$A$42,0))</f>
        <v>0</v>
      </c>
      <c r="U82" s="5" t="n">
        <f aca="false">J82*INDEX(SUPPLIERS!$E$3:$E$30,MATCH(C82,SUPPLIERS!$A$3:$A$30,0))</f>
        <v>0</v>
      </c>
      <c r="V82" s="5" t="n">
        <v>0</v>
      </c>
      <c r="W82" s="5" t="n">
        <f aca="false">J82+S82+T82+U82+V82</f>
        <v>100074.403270199</v>
      </c>
      <c r="X82" s="9" t="n">
        <f aca="false">W82/J82-1</f>
        <v>0.000744032701993191</v>
      </c>
      <c r="Y82" s="6" t="n">
        <f aca="false">INDEX(DRIVERS!$B$32:$B$42,MATCH(B82,DRIVERS!$A$32:$A$42,0))</f>
        <v>0.1</v>
      </c>
      <c r="Z82" s="5" t="n">
        <f aca="false">W82*(1+Y82)</f>
        <v>110081.843597219</v>
      </c>
      <c r="AA82" s="5" t="n">
        <f aca="false">W82*(1+Y82+DRIVERS!$B$26)*(1+DRIVERS!$B$27)</f>
        <v>128895.831412017</v>
      </c>
      <c r="AB82" s="2" t="s">
        <v>218</v>
      </c>
      <c r="AC82" s="8"/>
    </row>
    <row r="83" customFormat="false" ht="15" hidden="false" customHeight="false" outlineLevel="0" collapsed="false">
      <c r="A83" s="2" t="s">
        <v>455</v>
      </c>
      <c r="B83" s="2" t="s">
        <v>235</v>
      </c>
      <c r="C83" s="2" t="s">
        <v>92</v>
      </c>
      <c r="D83" s="2" t="s">
        <v>456</v>
      </c>
      <c r="E83" s="2" t="s">
        <v>457</v>
      </c>
      <c r="F83" s="2" t="s">
        <v>186</v>
      </c>
      <c r="G83" s="2" t="s">
        <v>186</v>
      </c>
      <c r="H83" s="5" t="n">
        <v>80000</v>
      </c>
      <c r="I83" s="6" t="n">
        <f aca="false">INDEX(SUPPLIERS!$D$3:$D$30,MATCH(C83,SUPPLIERS!$A$3:$A$30,0))</f>
        <v>0</v>
      </c>
      <c r="J83" s="5" t="n">
        <f aca="false">H83*(1-I83)</f>
        <v>80000</v>
      </c>
      <c r="K83" s="2" t="n">
        <v>20</v>
      </c>
      <c r="L83" s="2" t="s">
        <v>238</v>
      </c>
      <c r="M83" s="5" t="n">
        <f aca="false">IF(K83="","",J83/K83)</f>
        <v>4000</v>
      </c>
      <c r="N83" s="2" t="n">
        <v>35</v>
      </c>
      <c r="O83" s="13" t="n">
        <v>0.065</v>
      </c>
      <c r="P83" s="2" t="s">
        <v>310</v>
      </c>
      <c r="Q83" s="14" t="n">
        <f aca="false">MAX(N83/DRIVERS!$B$5,O83/DRIVERS!$B$6)</f>
        <v>0.0116666666666667</v>
      </c>
      <c r="R83" s="15" t="n">
        <f aca="false">ROUNDDOWN(1/Q83,0)</f>
        <v>85</v>
      </c>
      <c r="S83" s="5" t="n">
        <f aca="false">DRIVERS!$B$23*Q83/DRIVERS!$B$24</f>
        <v>60.5608013250238</v>
      </c>
      <c r="T83" s="5" t="n">
        <f aca="false">J83*INDEX(DRIVERS!$C$32:$C$42,MATCH(B83,DRIVERS!$A$32:$A$42,0))</f>
        <v>0</v>
      </c>
      <c r="U83" s="5" t="n">
        <f aca="false">J83*INDEX(SUPPLIERS!$E$3:$E$30,MATCH(C83,SUPPLIERS!$A$3:$A$30,0))</f>
        <v>0</v>
      </c>
      <c r="V83" s="5" t="n">
        <v>0</v>
      </c>
      <c r="W83" s="5" t="n">
        <f aca="false">J83+S83+T83+U83+V83</f>
        <v>80060.560801325</v>
      </c>
      <c r="X83" s="9" t="n">
        <f aca="false">W83/J83-1</f>
        <v>0.000757010016562809</v>
      </c>
      <c r="Y83" s="6" t="n">
        <f aca="false">INDEX(DRIVERS!$B$32:$B$42,MATCH(B83,DRIVERS!$A$32:$A$42,0))</f>
        <v>0.1</v>
      </c>
      <c r="Z83" s="5" t="n">
        <f aca="false">W83*(1+Y83)</f>
        <v>88066.6168814575</v>
      </c>
      <c r="AA83" s="5" t="n">
        <f aca="false">W83*(1+Y83+DRIVERS!$B$26)*(1+DRIVERS!$B$27)</f>
        <v>103118.002312107</v>
      </c>
      <c r="AB83" s="2" t="s">
        <v>218</v>
      </c>
      <c r="AC83" s="8"/>
    </row>
    <row r="84" customFormat="false" ht="15" hidden="false" customHeight="false" outlineLevel="0" collapsed="false">
      <c r="A84" s="2" t="s">
        <v>458</v>
      </c>
      <c r="B84" s="2" t="s">
        <v>235</v>
      </c>
      <c r="C84" s="2" t="s">
        <v>92</v>
      </c>
      <c r="D84" s="2" t="s">
        <v>459</v>
      </c>
      <c r="E84" s="2" t="s">
        <v>426</v>
      </c>
      <c r="F84" s="2" t="s">
        <v>186</v>
      </c>
      <c r="G84" s="2" t="s">
        <v>186</v>
      </c>
      <c r="H84" s="5" t="n">
        <v>50000</v>
      </c>
      <c r="I84" s="6" t="n">
        <f aca="false">INDEX(SUPPLIERS!$D$3:$D$30,MATCH(C84,SUPPLIERS!$A$3:$A$30,0))</f>
        <v>0</v>
      </c>
      <c r="J84" s="5" t="n">
        <f aca="false">H84*(1-I84)</f>
        <v>50000</v>
      </c>
      <c r="K84" s="2" t="n">
        <v>10</v>
      </c>
      <c r="L84" s="2" t="s">
        <v>238</v>
      </c>
      <c r="M84" s="5" t="n">
        <f aca="false">IF(K84="","",J84/K84)</f>
        <v>5000</v>
      </c>
      <c r="N84" s="2" t="n">
        <v>24.5</v>
      </c>
      <c r="O84" s="13" t="n">
        <v>0.08971</v>
      </c>
      <c r="P84" s="2" t="s">
        <v>310</v>
      </c>
      <c r="Q84" s="14" t="n">
        <f aca="false">MAX(N84/DRIVERS!$B$5,O84/DRIVERS!$B$6)</f>
        <v>0.00816666666666667</v>
      </c>
      <c r="R84" s="15" t="n">
        <f aca="false">ROUNDDOWN(1/Q84,0)</f>
        <v>122</v>
      </c>
      <c r="S84" s="5" t="n">
        <f aca="false">DRIVERS!$B$23*Q84/DRIVERS!$B$24</f>
        <v>42.3925609275166</v>
      </c>
      <c r="T84" s="5" t="n">
        <f aca="false">J84*INDEX(DRIVERS!$C$32:$C$42,MATCH(B84,DRIVERS!$A$32:$A$42,0))</f>
        <v>0</v>
      </c>
      <c r="U84" s="5" t="n">
        <f aca="false">J84*INDEX(SUPPLIERS!$E$3:$E$30,MATCH(C84,SUPPLIERS!$A$3:$A$30,0))</f>
        <v>0</v>
      </c>
      <c r="V84" s="5" t="n">
        <v>0</v>
      </c>
      <c r="W84" s="5" t="n">
        <f aca="false">J84+S84+T84+U84+V84</f>
        <v>50042.3925609275</v>
      </c>
      <c r="X84" s="9" t="n">
        <f aca="false">W84/J84-1</f>
        <v>0.000847851218550355</v>
      </c>
      <c r="Y84" s="6" t="n">
        <f aca="false">INDEX(DRIVERS!$B$32:$B$42,MATCH(B84,DRIVERS!$A$32:$A$42,0))</f>
        <v>0.1</v>
      </c>
      <c r="Z84" s="5" t="n">
        <f aca="false">W84*(1+Y84)</f>
        <v>55046.6318170203</v>
      </c>
      <c r="AA84" s="5" t="n">
        <f aca="false">W84*(1+Y84+DRIVERS!$B$26)*(1+DRIVERS!$B$27)</f>
        <v>64454.6016184747</v>
      </c>
      <c r="AB84" s="2" t="s">
        <v>218</v>
      </c>
      <c r="AC84" s="8"/>
    </row>
    <row r="85" customFormat="false" ht="15" hidden="false" customHeight="false" outlineLevel="0" collapsed="false">
      <c r="A85" s="2" t="s">
        <v>460</v>
      </c>
      <c r="B85" s="2" t="s">
        <v>235</v>
      </c>
      <c r="C85" s="2" t="s">
        <v>92</v>
      </c>
      <c r="D85" s="2" t="s">
        <v>461</v>
      </c>
      <c r="E85" s="2" t="s">
        <v>462</v>
      </c>
      <c r="F85" s="2" t="s">
        <v>186</v>
      </c>
      <c r="G85" s="2" t="s">
        <v>186</v>
      </c>
      <c r="H85" s="5" t="n">
        <v>85000</v>
      </c>
      <c r="I85" s="6" t="n">
        <f aca="false">INDEX(SUPPLIERS!$D$3:$D$30,MATCH(C85,SUPPLIERS!$A$3:$A$30,0))</f>
        <v>0</v>
      </c>
      <c r="J85" s="5" t="n">
        <f aca="false">H85*(1-I85)</f>
        <v>85000</v>
      </c>
      <c r="K85" s="2" t="n">
        <v>12</v>
      </c>
      <c r="L85" s="2" t="s">
        <v>238</v>
      </c>
      <c r="M85" s="5" t="n">
        <f aca="false">IF(K85="","",J85/K85)</f>
        <v>7083.33333333333</v>
      </c>
      <c r="N85" s="2" t="n">
        <v>42</v>
      </c>
      <c r="O85" s="13" t="n">
        <v>0.19003</v>
      </c>
      <c r="P85" s="2" t="s">
        <v>310</v>
      </c>
      <c r="Q85" s="14" t="n">
        <f aca="false">MAX(N85/DRIVERS!$B$5,O85/DRIVERS!$B$6)</f>
        <v>0.014</v>
      </c>
      <c r="R85" s="15" t="n">
        <f aca="false">ROUNDDOWN(1/Q85,0)</f>
        <v>71</v>
      </c>
      <c r="S85" s="5" t="n">
        <f aca="false">DRIVERS!$B$23*Q85/DRIVERS!$B$24</f>
        <v>72.6729615900285</v>
      </c>
      <c r="T85" s="5" t="n">
        <f aca="false">J85*INDEX(DRIVERS!$C$32:$C$42,MATCH(B85,DRIVERS!$A$32:$A$42,0))</f>
        <v>0</v>
      </c>
      <c r="U85" s="5" t="n">
        <f aca="false">J85*INDEX(SUPPLIERS!$E$3:$E$30,MATCH(C85,SUPPLIERS!$A$3:$A$30,0))</f>
        <v>0</v>
      </c>
      <c r="V85" s="5" t="n">
        <v>0</v>
      </c>
      <c r="W85" s="5" t="n">
        <f aca="false">J85+S85+T85+U85+V85</f>
        <v>85072.67296159</v>
      </c>
      <c r="X85" s="9" t="n">
        <f aca="false">W85/J85-1</f>
        <v>0.000854976018706211</v>
      </c>
      <c r="Y85" s="6" t="n">
        <f aca="false">INDEX(DRIVERS!$B$32:$B$42,MATCH(B85,DRIVERS!$A$32:$A$42,0))</f>
        <v>0.1</v>
      </c>
      <c r="Z85" s="5" t="n">
        <f aca="false">W85*(1+Y85)</f>
        <v>93579.940257749</v>
      </c>
      <c r="AA85" s="5" t="n">
        <f aca="false">W85*(1+Y85+DRIVERS!$B$26)*(1+DRIVERS!$B$27)</f>
        <v>109573.602774528</v>
      </c>
      <c r="AB85" s="2" t="s">
        <v>218</v>
      </c>
      <c r="AC85" s="8"/>
    </row>
    <row r="86" customFormat="false" ht="15" hidden="false" customHeight="false" outlineLevel="0" collapsed="false">
      <c r="A86" s="2" t="s">
        <v>463</v>
      </c>
      <c r="B86" s="2" t="s">
        <v>235</v>
      </c>
      <c r="C86" s="2" t="s">
        <v>92</v>
      </c>
      <c r="D86" s="2" t="s">
        <v>464</v>
      </c>
      <c r="E86" s="2" t="s">
        <v>465</v>
      </c>
      <c r="F86" s="2" t="s">
        <v>186</v>
      </c>
      <c r="G86" s="2" t="s">
        <v>186</v>
      </c>
      <c r="H86" s="5" t="n">
        <v>43000</v>
      </c>
      <c r="I86" s="6" t="n">
        <f aca="false">INDEX(SUPPLIERS!$D$3:$D$30,MATCH(C86,SUPPLIERS!$A$3:$A$30,0))</f>
        <v>0</v>
      </c>
      <c r="J86" s="5" t="n">
        <f aca="false">H86*(1-I86)</f>
        <v>43000</v>
      </c>
      <c r="K86" s="2" t="n">
        <v>6</v>
      </c>
      <c r="L86" s="2" t="s">
        <v>238</v>
      </c>
      <c r="M86" s="5" t="n">
        <f aca="false">IF(K86="","",J86/K86)</f>
        <v>7166.66666666667</v>
      </c>
      <c r="N86" s="2" t="n">
        <v>30</v>
      </c>
      <c r="O86" s="13" t="n">
        <v>0.12124</v>
      </c>
      <c r="P86" s="2" t="s">
        <v>310</v>
      </c>
      <c r="Q86" s="14" t="n">
        <f aca="false">MAX(N86/DRIVERS!$B$5,O86/DRIVERS!$B$6)</f>
        <v>0.01</v>
      </c>
      <c r="R86" s="15" t="n">
        <f aca="false">ROUNDDOWN(1/Q86,0)</f>
        <v>100</v>
      </c>
      <c r="S86" s="5" t="n">
        <f aca="false">DRIVERS!$B$23*Q86/DRIVERS!$B$24</f>
        <v>51.9092582785918</v>
      </c>
      <c r="T86" s="5" t="n">
        <f aca="false">J86*INDEX(DRIVERS!$C$32:$C$42,MATCH(B86,DRIVERS!$A$32:$A$42,0))</f>
        <v>0</v>
      </c>
      <c r="U86" s="5" t="n">
        <f aca="false">J86*INDEX(SUPPLIERS!$E$3:$E$30,MATCH(C86,SUPPLIERS!$A$3:$A$30,0))</f>
        <v>0</v>
      </c>
      <c r="V86" s="5" t="n">
        <v>0</v>
      </c>
      <c r="W86" s="5" t="n">
        <f aca="false">J86+S86+T86+U86+V86</f>
        <v>43051.9092582786</v>
      </c>
      <c r="X86" s="9" t="n">
        <f aca="false">W86/J86-1</f>
        <v>0.00120719205299036</v>
      </c>
      <c r="Y86" s="6" t="n">
        <f aca="false">INDEX(DRIVERS!$B$32:$B$42,MATCH(B86,DRIVERS!$A$32:$A$42,0))</f>
        <v>0.1</v>
      </c>
      <c r="Z86" s="5" t="n">
        <f aca="false">W86*(1+Y86)</f>
        <v>47357.1001841065</v>
      </c>
      <c r="AA86" s="5" t="n">
        <f aca="false">W86*(1+Y86+DRIVERS!$B$26)*(1+DRIVERS!$B$27)</f>
        <v>55450.8591246628</v>
      </c>
      <c r="AB86" s="2" t="s">
        <v>218</v>
      </c>
      <c r="AC86" s="8"/>
    </row>
    <row r="87" customFormat="false" ht="15" hidden="false" customHeight="false" outlineLevel="0" collapsed="false">
      <c r="A87" s="2" t="s">
        <v>466</v>
      </c>
      <c r="B87" s="2" t="s">
        <v>235</v>
      </c>
      <c r="C87" s="2" t="s">
        <v>92</v>
      </c>
      <c r="D87" s="2" t="s">
        <v>467</v>
      </c>
      <c r="E87" s="2" t="s">
        <v>468</v>
      </c>
      <c r="F87" s="2" t="s">
        <v>186</v>
      </c>
      <c r="G87" s="2" t="s">
        <v>186</v>
      </c>
      <c r="H87" s="5" t="n">
        <v>130000</v>
      </c>
      <c r="I87" s="6" t="n">
        <f aca="false">INDEX(SUPPLIERS!$D$3:$D$30,MATCH(C87,SUPPLIERS!$A$3:$A$30,0))</f>
        <v>0</v>
      </c>
      <c r="J87" s="5" t="n">
        <f aca="false">H87*(1-I87)</f>
        <v>130000</v>
      </c>
      <c r="K87" s="2" t="n">
        <v>18</v>
      </c>
      <c r="L87" s="2" t="s">
        <v>238</v>
      </c>
      <c r="M87" s="5" t="n">
        <f aca="false">IF(K87="","",J87/K87)</f>
        <v>7222.22222222222</v>
      </c>
      <c r="N87" s="2" t="n">
        <v>70</v>
      </c>
      <c r="O87" s="13" t="n">
        <v>0.13519</v>
      </c>
      <c r="P87" s="2" t="s">
        <v>310</v>
      </c>
      <c r="Q87" s="14" t="n">
        <f aca="false">MAX(N87/DRIVERS!$B$5,O87/DRIVERS!$B$6)</f>
        <v>0.0233333333333333</v>
      </c>
      <c r="R87" s="15" t="n">
        <f aca="false">ROUNDDOWN(1/Q87,0)</f>
        <v>42</v>
      </c>
      <c r="S87" s="5" t="n">
        <f aca="false">DRIVERS!$B$23*Q87/DRIVERS!$B$24</f>
        <v>121.121602650048</v>
      </c>
      <c r="T87" s="5" t="n">
        <f aca="false">J87*INDEX(DRIVERS!$C$32:$C$42,MATCH(B87,DRIVERS!$A$32:$A$42,0))</f>
        <v>0</v>
      </c>
      <c r="U87" s="5" t="n">
        <f aca="false">J87*INDEX(SUPPLIERS!$E$3:$E$30,MATCH(C87,SUPPLIERS!$A$3:$A$30,0))</f>
        <v>0</v>
      </c>
      <c r="V87" s="5" t="n">
        <v>0</v>
      </c>
      <c r="W87" s="5" t="n">
        <f aca="false">J87+S87+T87+U87+V87</f>
        <v>130121.12160265</v>
      </c>
      <c r="X87" s="9" t="n">
        <f aca="false">W87/J87-1</f>
        <v>0.000931704635769526</v>
      </c>
      <c r="Y87" s="6" t="n">
        <f aca="false">INDEX(DRIVERS!$B$32:$B$42,MATCH(B87,DRIVERS!$A$32:$A$42,0))</f>
        <v>0.1</v>
      </c>
      <c r="Z87" s="5" t="n">
        <f aca="false">W87*(1+Y87)</f>
        <v>143133.233762915</v>
      </c>
      <c r="AA87" s="5" t="n">
        <f aca="false">W87*(1+Y87+DRIVERS!$B$26)*(1+DRIVERS!$B$27)</f>
        <v>167596.004624213</v>
      </c>
      <c r="AB87" s="2" t="s">
        <v>218</v>
      </c>
      <c r="AC87" s="8"/>
    </row>
    <row r="88" customFormat="false" ht="15" hidden="false" customHeight="false" outlineLevel="0" collapsed="false">
      <c r="A88" s="2" t="s">
        <v>469</v>
      </c>
      <c r="B88" s="2" t="s">
        <v>235</v>
      </c>
      <c r="C88" s="2" t="s">
        <v>92</v>
      </c>
      <c r="D88" s="2" t="s">
        <v>470</v>
      </c>
      <c r="E88" s="2" t="s">
        <v>471</v>
      </c>
      <c r="F88" s="2" t="s">
        <v>186</v>
      </c>
      <c r="G88" s="2" t="s">
        <v>186</v>
      </c>
      <c r="H88" s="5" t="n">
        <v>58000</v>
      </c>
      <c r="I88" s="6" t="n">
        <f aca="false">INDEX(SUPPLIERS!$D$3:$D$30,MATCH(C88,SUPPLIERS!$A$3:$A$30,0))</f>
        <v>0</v>
      </c>
      <c r="J88" s="5" t="n">
        <f aca="false">H88*(1-I88)</f>
        <v>58000</v>
      </c>
      <c r="K88" s="2" t="n">
        <v>8</v>
      </c>
      <c r="L88" s="2" t="s">
        <v>238</v>
      </c>
      <c r="M88" s="5" t="n">
        <f aca="false">IF(K88="","",J88/K88)</f>
        <v>7250</v>
      </c>
      <c r="N88" s="2" t="n">
        <v>37</v>
      </c>
      <c r="O88" s="13" t="n">
        <v>0.14882</v>
      </c>
      <c r="P88" s="2" t="s">
        <v>310</v>
      </c>
      <c r="Q88" s="14" t="n">
        <f aca="false">MAX(N88/DRIVERS!$B$5,O88/DRIVERS!$B$6)</f>
        <v>0.0123333333333333</v>
      </c>
      <c r="R88" s="15" t="n">
        <f aca="false">ROUNDDOWN(1/Q88,0)</f>
        <v>81</v>
      </c>
      <c r="S88" s="5" t="n">
        <f aca="false">DRIVERS!$B$23*Q88/DRIVERS!$B$24</f>
        <v>64.0214185435965</v>
      </c>
      <c r="T88" s="5" t="n">
        <f aca="false">J88*INDEX(DRIVERS!$C$32:$C$42,MATCH(B88,DRIVERS!$A$32:$A$42,0))</f>
        <v>0</v>
      </c>
      <c r="U88" s="5" t="n">
        <f aca="false">J88*INDEX(SUPPLIERS!$E$3:$E$30,MATCH(C88,SUPPLIERS!$A$3:$A$30,0))</f>
        <v>0</v>
      </c>
      <c r="V88" s="5" t="n">
        <v>0</v>
      </c>
      <c r="W88" s="5" t="n">
        <f aca="false">J88+S88+T88+U88+V88</f>
        <v>58064.0214185436</v>
      </c>
      <c r="X88" s="9" t="n">
        <f aca="false">W88/J88-1</f>
        <v>0.00110381756109645</v>
      </c>
      <c r="Y88" s="6" t="n">
        <f aca="false">INDEX(DRIVERS!$B$32:$B$42,MATCH(B88,DRIVERS!$A$32:$A$42,0))</f>
        <v>0.1</v>
      </c>
      <c r="Z88" s="5" t="n">
        <f aca="false">W88*(1+Y88)</f>
        <v>63870.423560398</v>
      </c>
      <c r="AA88" s="5" t="n">
        <f aca="false">W88*(1+Y88+DRIVERS!$B$26)*(1+DRIVERS!$B$27)</f>
        <v>74786.4595870842</v>
      </c>
      <c r="AB88" s="2" t="s">
        <v>218</v>
      </c>
      <c r="AC88" s="8"/>
    </row>
    <row r="89" customFormat="false" ht="15" hidden="false" customHeight="false" outlineLevel="0" collapsed="false">
      <c r="A89" s="2" t="s">
        <v>472</v>
      </c>
      <c r="B89" s="2" t="s">
        <v>235</v>
      </c>
      <c r="C89" s="2" t="s">
        <v>92</v>
      </c>
      <c r="D89" s="2" t="s">
        <v>473</v>
      </c>
      <c r="E89" s="2" t="s">
        <v>474</v>
      </c>
      <c r="F89" s="2" t="s">
        <v>186</v>
      </c>
      <c r="G89" s="2" t="s">
        <v>186</v>
      </c>
      <c r="H89" s="5" t="n">
        <v>75000</v>
      </c>
      <c r="I89" s="6" t="n">
        <f aca="false">INDEX(SUPPLIERS!$D$3:$D$30,MATCH(C89,SUPPLIERS!$A$3:$A$30,0))</f>
        <v>0</v>
      </c>
      <c r="J89" s="5" t="n">
        <f aca="false">H89*(1-I89)</f>
        <v>75000</v>
      </c>
      <c r="K89" s="2" t="n">
        <v>10</v>
      </c>
      <c r="L89" s="2" t="s">
        <v>238</v>
      </c>
      <c r="M89" s="5" t="n">
        <f aca="false">IF(K89="","",J89/K89)</f>
        <v>7500</v>
      </c>
      <c r="N89" s="2" t="n">
        <v>42</v>
      </c>
      <c r="O89" s="13" t="n">
        <v>0.139</v>
      </c>
      <c r="P89" s="2" t="s">
        <v>310</v>
      </c>
      <c r="Q89" s="14" t="n">
        <f aca="false">MAX(N89/DRIVERS!$B$5,O89/DRIVERS!$B$6)</f>
        <v>0.014</v>
      </c>
      <c r="R89" s="15" t="n">
        <f aca="false">ROUNDDOWN(1/Q89,0)</f>
        <v>71</v>
      </c>
      <c r="S89" s="5" t="n">
        <f aca="false">DRIVERS!$B$23*Q89/DRIVERS!$B$24</f>
        <v>72.6729615900285</v>
      </c>
      <c r="T89" s="5" t="n">
        <f aca="false">J89*INDEX(DRIVERS!$C$32:$C$42,MATCH(B89,DRIVERS!$A$32:$A$42,0))</f>
        <v>0</v>
      </c>
      <c r="U89" s="5" t="n">
        <f aca="false">J89*INDEX(SUPPLIERS!$E$3:$E$30,MATCH(C89,SUPPLIERS!$A$3:$A$30,0))</f>
        <v>0</v>
      </c>
      <c r="V89" s="5" t="n">
        <v>0</v>
      </c>
      <c r="W89" s="5" t="n">
        <f aca="false">J89+S89+T89+U89+V89</f>
        <v>75072.67296159</v>
      </c>
      <c r="X89" s="9" t="n">
        <f aca="false">W89/J89-1</f>
        <v>0.000968972821200342</v>
      </c>
      <c r="Y89" s="6" t="n">
        <f aca="false">INDEX(DRIVERS!$B$32:$B$42,MATCH(B89,DRIVERS!$A$32:$A$42,0))</f>
        <v>0.1</v>
      </c>
      <c r="Z89" s="5" t="n">
        <f aca="false">W89*(1+Y89)</f>
        <v>82579.940257749</v>
      </c>
      <c r="AA89" s="5" t="n">
        <f aca="false">W89*(1+Y89+DRIVERS!$B$26)*(1+DRIVERS!$B$27)</f>
        <v>96693.602774528</v>
      </c>
      <c r="AB89" s="2" t="s">
        <v>218</v>
      </c>
      <c r="AC89" s="8"/>
    </row>
    <row r="90" customFormat="false" ht="15" hidden="false" customHeight="false" outlineLevel="0" collapsed="false">
      <c r="A90" s="2" t="s">
        <v>475</v>
      </c>
      <c r="B90" s="2" t="s">
        <v>235</v>
      </c>
      <c r="C90" s="2" t="s">
        <v>92</v>
      </c>
      <c r="D90" s="2" t="s">
        <v>476</v>
      </c>
      <c r="E90" s="2" t="s">
        <v>477</v>
      </c>
      <c r="F90" s="2" t="s">
        <v>186</v>
      </c>
      <c r="G90" s="2" t="s">
        <v>186</v>
      </c>
      <c r="H90" s="5" t="n">
        <v>120000</v>
      </c>
      <c r="I90" s="6" t="n">
        <f aca="false">INDEX(SUPPLIERS!$D$3:$D$30,MATCH(C90,SUPPLIERS!$A$3:$A$30,0))</f>
        <v>0</v>
      </c>
      <c r="J90" s="5" t="n">
        <f aca="false">H90*(1-I90)</f>
        <v>120000</v>
      </c>
      <c r="K90" s="2" t="n">
        <v>16</v>
      </c>
      <c r="L90" s="2" t="s">
        <v>238</v>
      </c>
      <c r="M90" s="5" t="n">
        <f aca="false">IF(K90="","",J90/K90)</f>
        <v>7500</v>
      </c>
      <c r="N90" s="2" t="n">
        <v>65</v>
      </c>
      <c r="O90" s="13" t="n">
        <v>0.19578</v>
      </c>
      <c r="P90" s="2" t="s">
        <v>310</v>
      </c>
      <c r="Q90" s="14" t="n">
        <f aca="false">MAX(N90/DRIVERS!$B$5,O90/DRIVERS!$B$6)</f>
        <v>0.0216666666666667</v>
      </c>
      <c r="R90" s="15" t="n">
        <f aca="false">ROUNDDOWN(1/Q90,0)</f>
        <v>46</v>
      </c>
      <c r="S90" s="5" t="n">
        <f aca="false">DRIVERS!$B$23*Q90/DRIVERS!$B$24</f>
        <v>112.470059603616</v>
      </c>
      <c r="T90" s="5" t="n">
        <f aca="false">J90*INDEX(DRIVERS!$C$32:$C$42,MATCH(B90,DRIVERS!$A$32:$A$42,0))</f>
        <v>0</v>
      </c>
      <c r="U90" s="5" t="n">
        <f aca="false">J90*INDEX(SUPPLIERS!$E$3:$E$30,MATCH(C90,SUPPLIERS!$A$3:$A$30,0))</f>
        <v>0</v>
      </c>
      <c r="V90" s="5" t="n">
        <v>0</v>
      </c>
      <c r="W90" s="5" t="n">
        <f aca="false">J90+S90+T90+U90+V90</f>
        <v>120112.470059604</v>
      </c>
      <c r="X90" s="9" t="n">
        <f aca="false">W90/J90-1</f>
        <v>0.000937250496696684</v>
      </c>
      <c r="Y90" s="6" t="n">
        <f aca="false">INDEX(DRIVERS!$B$32:$B$42,MATCH(B90,DRIVERS!$A$32:$A$42,0))</f>
        <v>0.1</v>
      </c>
      <c r="Z90" s="5" t="n">
        <f aca="false">W90*(1+Y90)</f>
        <v>132123.717065564</v>
      </c>
      <c r="AA90" s="5" t="n">
        <f aca="false">W90*(1+Y90+DRIVERS!$B$26)*(1+DRIVERS!$B$27)</f>
        <v>154704.861436769</v>
      </c>
      <c r="AB90" s="2" t="s">
        <v>218</v>
      </c>
      <c r="AC90" s="8"/>
    </row>
    <row r="91" customFormat="false" ht="15" hidden="false" customHeight="false" outlineLevel="0" collapsed="false">
      <c r="A91" s="2" t="s">
        <v>478</v>
      </c>
      <c r="B91" s="2" t="s">
        <v>235</v>
      </c>
      <c r="C91" s="2" t="s">
        <v>92</v>
      </c>
      <c r="D91" s="2" t="s">
        <v>479</v>
      </c>
      <c r="E91" s="2" t="s">
        <v>480</v>
      </c>
      <c r="F91" s="2" t="s">
        <v>186</v>
      </c>
      <c r="G91" s="2" t="s">
        <v>186</v>
      </c>
      <c r="H91" s="5" t="n">
        <v>350000</v>
      </c>
      <c r="I91" s="6" t="n">
        <f aca="false">INDEX(SUPPLIERS!$D$3:$D$30,MATCH(C91,SUPPLIERS!$A$3:$A$30,0))</f>
        <v>0</v>
      </c>
      <c r="J91" s="5" t="n">
        <f aca="false">H91*(1-I91)</f>
        <v>350000</v>
      </c>
      <c r="K91" s="2" t="n">
        <v>80</v>
      </c>
      <c r="L91" s="2" t="s">
        <v>238</v>
      </c>
      <c r="M91" s="5" t="n">
        <f aca="false">IF(K91="","",J91/K91)</f>
        <v>4375</v>
      </c>
      <c r="N91" s="2" t="n">
        <v>130</v>
      </c>
      <c r="O91" s="13" t="n">
        <v>0.34492</v>
      </c>
      <c r="P91" s="2" t="s">
        <v>310</v>
      </c>
      <c r="Q91" s="14" t="n">
        <f aca="false">MAX(N91/DRIVERS!$B$5,O91/DRIVERS!$B$6)</f>
        <v>0.0433333333333333</v>
      </c>
      <c r="R91" s="15" t="n">
        <f aca="false">ROUNDDOWN(1/Q91,0)</f>
        <v>23</v>
      </c>
      <c r="S91" s="5" t="n">
        <f aca="false">DRIVERS!$B$23*Q91/DRIVERS!$B$24</f>
        <v>224.940119207231</v>
      </c>
      <c r="T91" s="5" t="n">
        <f aca="false">J91*INDEX(DRIVERS!$C$32:$C$42,MATCH(B91,DRIVERS!$A$32:$A$42,0))</f>
        <v>0</v>
      </c>
      <c r="U91" s="5" t="n">
        <f aca="false">J91*INDEX(SUPPLIERS!$E$3:$E$30,MATCH(C91,SUPPLIERS!$A$3:$A$30,0))</f>
        <v>0</v>
      </c>
      <c r="V91" s="5" t="n">
        <v>0</v>
      </c>
      <c r="W91" s="5" t="n">
        <f aca="false">J91+S91+T91+U91+V91</f>
        <v>350224.940119207</v>
      </c>
      <c r="X91" s="9" t="n">
        <f aca="false">W91/J91-1</f>
        <v>0.000642686054877828</v>
      </c>
      <c r="Y91" s="6" t="n">
        <f aca="false">INDEX(DRIVERS!$B$32:$B$42,MATCH(B91,DRIVERS!$A$32:$A$42,0))</f>
        <v>0.1</v>
      </c>
      <c r="Z91" s="5" t="n">
        <f aca="false">W91*(1+Y91)</f>
        <v>385247.434131128</v>
      </c>
      <c r="AA91" s="5" t="n">
        <f aca="false">W91*(1+Y91+DRIVERS!$B$26)*(1+DRIVERS!$B$27)</f>
        <v>451089.722873539</v>
      </c>
      <c r="AB91" s="2" t="s">
        <v>218</v>
      </c>
      <c r="AC91" s="8"/>
    </row>
    <row r="92" customFormat="false" ht="15" hidden="false" customHeight="false" outlineLevel="0" collapsed="false">
      <c r="A92" s="2" t="s">
        <v>481</v>
      </c>
      <c r="B92" s="2" t="s">
        <v>235</v>
      </c>
      <c r="C92" s="2" t="s">
        <v>92</v>
      </c>
      <c r="D92" s="2" t="s">
        <v>482</v>
      </c>
      <c r="E92" s="2" t="s">
        <v>483</v>
      </c>
      <c r="F92" s="2" t="s">
        <v>186</v>
      </c>
      <c r="G92" s="2" t="s">
        <v>186</v>
      </c>
      <c r="H92" s="5" t="n">
        <v>280000</v>
      </c>
      <c r="I92" s="6" t="n">
        <f aca="false">INDEX(SUPPLIERS!$D$3:$D$30,MATCH(C92,SUPPLIERS!$A$3:$A$30,0))</f>
        <v>0</v>
      </c>
      <c r="J92" s="5" t="n">
        <f aca="false">H92*(1-I92)</f>
        <v>280000</v>
      </c>
      <c r="K92" s="2" t="n">
        <v>50</v>
      </c>
      <c r="L92" s="2" t="s">
        <v>238</v>
      </c>
      <c r="M92" s="5" t="n">
        <f aca="false">IF(K92="","",J92/K92)</f>
        <v>5600</v>
      </c>
      <c r="N92" s="2" t="n">
        <v>98</v>
      </c>
      <c r="O92" s="13" t="n">
        <v>0.25725</v>
      </c>
      <c r="P92" s="2" t="s">
        <v>310</v>
      </c>
      <c r="Q92" s="14" t="n">
        <f aca="false">MAX(N92/DRIVERS!$B$5,O92/DRIVERS!$B$6)</f>
        <v>0.0326666666666667</v>
      </c>
      <c r="R92" s="15" t="n">
        <f aca="false">ROUNDDOWN(1/Q92,0)</f>
        <v>30</v>
      </c>
      <c r="S92" s="5" t="n">
        <f aca="false">DRIVERS!$B$23*Q92/DRIVERS!$B$24</f>
        <v>169.570243710066</v>
      </c>
      <c r="T92" s="5" t="n">
        <f aca="false">J92*INDEX(DRIVERS!$C$32:$C$42,MATCH(B92,DRIVERS!$A$32:$A$42,0))</f>
        <v>0</v>
      </c>
      <c r="U92" s="5" t="n">
        <f aca="false">J92*INDEX(SUPPLIERS!$E$3:$E$30,MATCH(C92,SUPPLIERS!$A$3:$A$30,0))</f>
        <v>0</v>
      </c>
      <c r="V92" s="5" t="n">
        <v>0</v>
      </c>
      <c r="W92" s="5" t="n">
        <f aca="false">J92+S92+T92+U92+V92</f>
        <v>280169.57024371</v>
      </c>
      <c r="X92" s="9" t="n">
        <f aca="false">W92/J92-1</f>
        <v>0.000605608013250159</v>
      </c>
      <c r="Y92" s="6" t="n">
        <f aca="false">INDEX(DRIVERS!$B$32:$B$42,MATCH(B92,DRIVERS!$A$32:$A$42,0))</f>
        <v>0.1</v>
      </c>
      <c r="Z92" s="5" t="n">
        <f aca="false">W92*(1+Y92)</f>
        <v>308186.527268081</v>
      </c>
      <c r="AA92" s="5" t="n">
        <f aca="false">W92*(1+Y92+DRIVERS!$B$26)*(1+DRIVERS!$B$27)</f>
        <v>360858.406473899</v>
      </c>
      <c r="AB92" s="2" t="s">
        <v>218</v>
      </c>
      <c r="AC92" s="8"/>
    </row>
    <row r="93" customFormat="false" ht="15" hidden="false" customHeight="false" outlineLevel="0" collapsed="false">
      <c r="A93" s="2" t="s">
        <v>484</v>
      </c>
      <c r="B93" s="2" t="s">
        <v>235</v>
      </c>
      <c r="C93" s="2" t="s">
        <v>92</v>
      </c>
      <c r="D93" s="2" t="s">
        <v>485</v>
      </c>
      <c r="E93" s="2" t="s">
        <v>486</v>
      </c>
      <c r="F93" s="2" t="s">
        <v>186</v>
      </c>
      <c r="G93" s="2" t="s">
        <v>186</v>
      </c>
      <c r="H93" s="5" t="n">
        <v>480000</v>
      </c>
      <c r="I93" s="6" t="n">
        <f aca="false">INDEX(SUPPLIERS!$D$3:$D$30,MATCH(C93,SUPPLIERS!$A$3:$A$30,0))</f>
        <v>0</v>
      </c>
      <c r="J93" s="5" t="n">
        <f aca="false">H93*(1-I93)</f>
        <v>480000</v>
      </c>
      <c r="K93" s="2" t="n">
        <v>70</v>
      </c>
      <c r="L93" s="2" t="s">
        <v>238</v>
      </c>
      <c r="M93" s="5" t="n">
        <f aca="false">IF(K93="","",J93/K93)</f>
        <v>6857.14285714286</v>
      </c>
      <c r="N93" s="2" t="n">
        <v>125</v>
      </c>
      <c r="O93" s="13" t="n">
        <v>0.396</v>
      </c>
      <c r="P93" s="2" t="s">
        <v>310</v>
      </c>
      <c r="Q93" s="14" t="n">
        <f aca="false">MAX(N93/DRIVERS!$B$5,O93/DRIVERS!$B$6)</f>
        <v>0.0416666666666667</v>
      </c>
      <c r="R93" s="15" t="n">
        <f aca="false">ROUNDDOWN(1/Q93,0)</f>
        <v>24</v>
      </c>
      <c r="S93" s="5" t="n">
        <f aca="false">DRIVERS!$B$23*Q93/DRIVERS!$B$24</f>
        <v>216.288576160799</v>
      </c>
      <c r="T93" s="5" t="n">
        <f aca="false">J93*INDEX(DRIVERS!$C$32:$C$42,MATCH(B93,DRIVERS!$A$32:$A$42,0))</f>
        <v>0</v>
      </c>
      <c r="U93" s="5" t="n">
        <f aca="false">J93*INDEX(SUPPLIERS!$E$3:$E$30,MATCH(C93,SUPPLIERS!$A$3:$A$30,0))</f>
        <v>0</v>
      </c>
      <c r="V93" s="5" t="n">
        <v>0</v>
      </c>
      <c r="W93" s="5" t="n">
        <f aca="false">J93+S93+T93+U93+V93</f>
        <v>480216.288576161</v>
      </c>
      <c r="X93" s="9" t="n">
        <f aca="false">W93/J93-1</f>
        <v>0.00045060120033491</v>
      </c>
      <c r="Y93" s="6" t="n">
        <f aca="false">INDEX(DRIVERS!$B$32:$B$42,MATCH(B93,DRIVERS!$A$32:$A$42,0))</f>
        <v>0.1</v>
      </c>
      <c r="Z93" s="5" t="n">
        <f aca="false">W93*(1+Y93)</f>
        <v>528237.917433777</v>
      </c>
      <c r="AA93" s="5" t="n">
        <f aca="false">W93*(1+Y93+DRIVERS!$B$26)*(1+DRIVERS!$B$27)</f>
        <v>618518.579686095</v>
      </c>
      <c r="AB93" s="2" t="s">
        <v>218</v>
      </c>
      <c r="AC93" s="8"/>
    </row>
    <row r="94" customFormat="false" ht="15" hidden="false" customHeight="false" outlineLevel="0" collapsed="false">
      <c r="A94" s="2" t="s">
        <v>487</v>
      </c>
      <c r="B94" s="2" t="s">
        <v>235</v>
      </c>
      <c r="C94" s="2" t="s">
        <v>92</v>
      </c>
      <c r="D94" s="2" t="s">
        <v>488</v>
      </c>
      <c r="E94" s="2" t="s">
        <v>489</v>
      </c>
      <c r="F94" s="2" t="s">
        <v>186</v>
      </c>
      <c r="G94" s="2" t="s">
        <v>186</v>
      </c>
      <c r="H94" s="5" t="n">
        <v>150000</v>
      </c>
      <c r="I94" s="6" t="n">
        <f aca="false">INDEX(SUPPLIERS!$D$3:$D$30,MATCH(C94,SUPPLIERS!$A$3:$A$30,0))</f>
        <v>0</v>
      </c>
      <c r="J94" s="5" t="n">
        <f aca="false">H94*(1-I94)</f>
        <v>150000</v>
      </c>
      <c r="K94" s="2" t="n">
        <v>20</v>
      </c>
      <c r="L94" s="2" t="s">
        <v>238</v>
      </c>
      <c r="M94" s="5" t="n">
        <f aca="false">IF(K94="","",J94/K94)</f>
        <v>7500</v>
      </c>
      <c r="N94" s="2" t="n">
        <v>57.5</v>
      </c>
      <c r="O94" s="13" t="n">
        <v>0.18514</v>
      </c>
      <c r="P94" s="2" t="s">
        <v>310</v>
      </c>
      <c r="Q94" s="14" t="n">
        <f aca="false">MAX(N94/DRIVERS!$B$5,O94/DRIVERS!$B$6)</f>
        <v>0.0191666666666667</v>
      </c>
      <c r="R94" s="15" t="n">
        <f aca="false">ROUNDDOWN(1/Q94,0)</f>
        <v>52</v>
      </c>
      <c r="S94" s="5" t="n">
        <f aca="false">DRIVERS!$B$23*Q94/DRIVERS!$B$24</f>
        <v>99.4927450339676</v>
      </c>
      <c r="T94" s="5" t="n">
        <f aca="false">J94*INDEX(DRIVERS!$C$32:$C$42,MATCH(B94,DRIVERS!$A$32:$A$42,0))</f>
        <v>0</v>
      </c>
      <c r="U94" s="5" t="n">
        <f aca="false">J94*INDEX(SUPPLIERS!$E$3:$E$30,MATCH(C94,SUPPLIERS!$A$3:$A$30,0))</f>
        <v>0</v>
      </c>
      <c r="V94" s="5" t="n">
        <v>0</v>
      </c>
      <c r="W94" s="5" t="n">
        <f aca="false">J94+S94+T94+U94+V94</f>
        <v>150099.492745034</v>
      </c>
      <c r="X94" s="9" t="n">
        <f aca="false">W94/J94-1</f>
        <v>0.000663284966893052</v>
      </c>
      <c r="Y94" s="6" t="n">
        <f aca="false">INDEX(DRIVERS!$B$32:$B$42,MATCH(B94,DRIVERS!$A$32:$A$42,0))</f>
        <v>0.1</v>
      </c>
      <c r="Z94" s="5" t="n">
        <f aca="false">W94*(1+Y94)</f>
        <v>165109.442019537</v>
      </c>
      <c r="AA94" s="5" t="n">
        <f aca="false">W94*(1+Y94+DRIVERS!$B$26)*(1+DRIVERS!$B$27)</f>
        <v>193328.146655604</v>
      </c>
      <c r="AB94" s="2" t="s">
        <v>218</v>
      </c>
      <c r="AC94" s="8"/>
    </row>
    <row r="95" customFormat="false" ht="15" hidden="false" customHeight="false" outlineLevel="0" collapsed="false">
      <c r="A95" s="2" t="s">
        <v>490</v>
      </c>
      <c r="B95" s="2" t="s">
        <v>235</v>
      </c>
      <c r="C95" s="2" t="s">
        <v>92</v>
      </c>
      <c r="D95" s="2" t="s">
        <v>491</v>
      </c>
      <c r="E95" s="2" t="s">
        <v>492</v>
      </c>
      <c r="F95" s="2" t="s">
        <v>186</v>
      </c>
      <c r="G95" s="2" t="s">
        <v>186</v>
      </c>
      <c r="H95" s="5" t="n">
        <v>95000</v>
      </c>
      <c r="I95" s="6" t="n">
        <f aca="false">INDEX(SUPPLIERS!$D$3:$D$30,MATCH(C95,SUPPLIERS!$A$3:$A$30,0))</f>
        <v>0</v>
      </c>
      <c r="J95" s="5" t="n">
        <f aca="false">H95*(1-I95)</f>
        <v>95000</v>
      </c>
      <c r="K95" s="2" t="n">
        <v>12</v>
      </c>
      <c r="L95" s="2" t="s">
        <v>238</v>
      </c>
      <c r="M95" s="5" t="n">
        <f aca="false">IF(K95="","",J95/K95)</f>
        <v>7916.66666666667</v>
      </c>
      <c r="N95" s="2" t="n">
        <v>46</v>
      </c>
      <c r="O95" s="13" t="n">
        <v>0.21941</v>
      </c>
      <c r="P95" s="2" t="s">
        <v>310</v>
      </c>
      <c r="Q95" s="14" t="n">
        <f aca="false">MAX(N95/DRIVERS!$B$5,O95/DRIVERS!$B$6)</f>
        <v>0.0153711501045079</v>
      </c>
      <c r="R95" s="15" t="n">
        <f aca="false">ROUNDDOWN(1/Q95,0)</f>
        <v>65</v>
      </c>
      <c r="S95" s="5" t="n">
        <f aca="false">DRIVERS!$B$23*Q95/DRIVERS!$B$24</f>
        <v>79.7905000813904</v>
      </c>
      <c r="T95" s="5" t="n">
        <f aca="false">J95*INDEX(DRIVERS!$C$32:$C$42,MATCH(B95,DRIVERS!$A$32:$A$42,0))</f>
        <v>0</v>
      </c>
      <c r="U95" s="5" t="n">
        <f aca="false">J95*INDEX(SUPPLIERS!$E$3:$E$30,MATCH(C95,SUPPLIERS!$A$3:$A$30,0))</f>
        <v>0</v>
      </c>
      <c r="V95" s="5" t="n">
        <v>0</v>
      </c>
      <c r="W95" s="5" t="n">
        <f aca="false">J95+S95+T95+U95+V95</f>
        <v>95079.7905000814</v>
      </c>
      <c r="X95" s="9" t="n">
        <f aca="false">W95/J95-1</f>
        <v>0.000839900000856764</v>
      </c>
      <c r="Y95" s="6" t="n">
        <f aca="false">INDEX(DRIVERS!$B$32:$B$42,MATCH(B95,DRIVERS!$A$32:$A$42,0))</f>
        <v>0.1</v>
      </c>
      <c r="Z95" s="5" t="n">
        <f aca="false">W95*(1+Y95)</f>
        <v>104587.76955009</v>
      </c>
      <c r="AA95" s="5" t="n">
        <f aca="false">W95*(1+Y95+DRIVERS!$B$26)*(1+DRIVERS!$B$27)</f>
        <v>122462.770164105</v>
      </c>
      <c r="AB95" s="2" t="s">
        <v>218</v>
      </c>
      <c r="AC95" s="8"/>
    </row>
    <row r="96" customFormat="false" ht="15" hidden="false" customHeight="false" outlineLevel="0" collapsed="false">
      <c r="A96" s="2" t="s">
        <v>493</v>
      </c>
      <c r="B96" s="2" t="s">
        <v>235</v>
      </c>
      <c r="C96" s="2" t="s">
        <v>92</v>
      </c>
      <c r="D96" s="2" t="s">
        <v>494</v>
      </c>
      <c r="E96" s="2" t="s">
        <v>495</v>
      </c>
      <c r="F96" s="2" t="s">
        <v>186</v>
      </c>
      <c r="G96" s="2" t="s">
        <v>186</v>
      </c>
      <c r="H96" s="5" t="n">
        <v>250000</v>
      </c>
      <c r="I96" s="6" t="n">
        <f aca="false">INDEX(SUPPLIERS!$D$3:$D$30,MATCH(C96,SUPPLIERS!$A$3:$A$30,0))</f>
        <v>0</v>
      </c>
      <c r="J96" s="5" t="n">
        <f aca="false">H96*(1-I96)</f>
        <v>250000</v>
      </c>
      <c r="K96" s="2" t="n">
        <v>30</v>
      </c>
      <c r="L96" s="2" t="s">
        <v>238</v>
      </c>
      <c r="M96" s="5" t="n">
        <f aca="false">IF(K96="","",J96/K96)</f>
        <v>8333.33333333333</v>
      </c>
      <c r="N96" s="2" t="n">
        <v>105</v>
      </c>
      <c r="O96" s="13" t="n">
        <v>0.1995</v>
      </c>
      <c r="P96" s="2" t="s">
        <v>310</v>
      </c>
      <c r="Q96" s="14" t="n">
        <f aca="false">MAX(N96/DRIVERS!$B$5,O96/DRIVERS!$B$6)</f>
        <v>0.035</v>
      </c>
      <c r="R96" s="15" t="n">
        <f aca="false">ROUNDDOWN(1/Q96,0)</f>
        <v>28</v>
      </c>
      <c r="S96" s="5" t="n">
        <f aca="false">DRIVERS!$B$23*Q96/DRIVERS!$B$24</f>
        <v>181.682403975071</v>
      </c>
      <c r="T96" s="5" t="n">
        <f aca="false">J96*INDEX(DRIVERS!$C$32:$C$42,MATCH(B96,DRIVERS!$A$32:$A$42,0))</f>
        <v>0</v>
      </c>
      <c r="U96" s="5" t="n">
        <f aca="false">J96*INDEX(SUPPLIERS!$E$3:$E$30,MATCH(C96,SUPPLIERS!$A$3:$A$30,0))</f>
        <v>0</v>
      </c>
      <c r="V96" s="5" t="n">
        <v>0</v>
      </c>
      <c r="W96" s="5" t="n">
        <f aca="false">J96+S96+T96+U96+V96</f>
        <v>250181.682403975</v>
      </c>
      <c r="X96" s="9" t="n">
        <f aca="false">W96/J96-1</f>
        <v>0.000726729615900368</v>
      </c>
      <c r="Y96" s="6" t="n">
        <f aca="false">INDEX(DRIVERS!$B$32:$B$42,MATCH(B96,DRIVERS!$A$32:$A$42,0))</f>
        <v>0.1</v>
      </c>
      <c r="Z96" s="5" t="n">
        <f aca="false">W96*(1+Y96)</f>
        <v>275199.850644373</v>
      </c>
      <c r="AA96" s="5" t="n">
        <f aca="false">W96*(1+Y96+DRIVERS!$B$26)*(1+DRIVERS!$B$27)</f>
        <v>322234.00693632</v>
      </c>
      <c r="AB96" s="2" t="s">
        <v>218</v>
      </c>
      <c r="AC96" s="8"/>
    </row>
    <row r="97" customFormat="false" ht="15" hidden="false" customHeight="false" outlineLevel="0" collapsed="false">
      <c r="A97" s="2" t="s">
        <v>496</v>
      </c>
      <c r="B97" s="2" t="s">
        <v>235</v>
      </c>
      <c r="C97" s="2" t="s">
        <v>92</v>
      </c>
      <c r="D97" s="2" t="s">
        <v>497</v>
      </c>
      <c r="E97" s="2" t="s">
        <v>498</v>
      </c>
      <c r="F97" s="2" t="s">
        <v>186</v>
      </c>
      <c r="G97" s="2" t="s">
        <v>186</v>
      </c>
      <c r="H97" s="5" t="n">
        <v>26000</v>
      </c>
      <c r="I97" s="6" t="n">
        <f aca="false">INDEX(SUPPLIERS!$D$3:$D$30,MATCH(C97,SUPPLIERS!$A$3:$A$30,0))</f>
        <v>0</v>
      </c>
      <c r="J97" s="5" t="n">
        <f aca="false">H97*(1-I97)</f>
        <v>26000</v>
      </c>
      <c r="K97" s="2" t="n">
        <v>6</v>
      </c>
      <c r="L97" s="2" t="s">
        <v>238</v>
      </c>
      <c r="M97" s="5" t="n">
        <f aca="false">IF(K97="","",J97/K97)</f>
        <v>4333.33333333333</v>
      </c>
      <c r="N97" s="2" t="n">
        <v>35</v>
      </c>
      <c r="O97" s="13" t="n">
        <v>0.06199</v>
      </c>
      <c r="P97" s="2" t="s">
        <v>310</v>
      </c>
      <c r="Q97" s="14" t="n">
        <f aca="false">MAX(N97/DRIVERS!$B$5,O97/DRIVERS!$B$6)</f>
        <v>0.0116666666666667</v>
      </c>
      <c r="R97" s="15" t="n">
        <f aca="false">ROUNDDOWN(1/Q97,0)</f>
        <v>85</v>
      </c>
      <c r="S97" s="5" t="n">
        <f aca="false">DRIVERS!$B$23*Q97/DRIVERS!$B$24</f>
        <v>60.5608013250238</v>
      </c>
      <c r="T97" s="5" t="n">
        <f aca="false">J97*INDEX(DRIVERS!$C$32:$C$42,MATCH(B97,DRIVERS!$A$32:$A$42,0))</f>
        <v>0</v>
      </c>
      <c r="U97" s="5" t="n">
        <f aca="false">J97*INDEX(SUPPLIERS!$E$3:$E$30,MATCH(C97,SUPPLIERS!$A$3:$A$30,0))</f>
        <v>0</v>
      </c>
      <c r="V97" s="5" t="n">
        <v>0</v>
      </c>
      <c r="W97" s="5" t="n">
        <f aca="false">J97+S97+T97+U97+V97</f>
        <v>26060.560801325</v>
      </c>
      <c r="X97" s="9" t="n">
        <f aca="false">W97/J97-1</f>
        <v>0.00232926158942393</v>
      </c>
      <c r="Y97" s="6" t="n">
        <f aca="false">INDEX(DRIVERS!$B$32:$B$42,MATCH(B97,DRIVERS!$A$32:$A$42,0))</f>
        <v>0.1</v>
      </c>
      <c r="Z97" s="5" t="n">
        <f aca="false">W97*(1+Y97)</f>
        <v>28666.6168814575</v>
      </c>
      <c r="AA97" s="5" t="n">
        <f aca="false">W97*(1+Y97+DRIVERS!$B$26)*(1+DRIVERS!$B$27)</f>
        <v>33566.0023121066</v>
      </c>
      <c r="AB97" s="2" t="s">
        <v>218</v>
      </c>
      <c r="AC97" s="8"/>
    </row>
    <row r="98" customFormat="false" ht="15" hidden="false" customHeight="false" outlineLevel="0" collapsed="false">
      <c r="A98" s="2" t="s">
        <v>499</v>
      </c>
      <c r="B98" s="2" t="s">
        <v>235</v>
      </c>
      <c r="C98" s="2" t="s">
        <v>92</v>
      </c>
      <c r="D98" s="2" t="s">
        <v>500</v>
      </c>
      <c r="E98" s="2" t="s">
        <v>501</v>
      </c>
      <c r="F98" s="2" t="s">
        <v>186</v>
      </c>
      <c r="G98" s="2" t="s">
        <v>186</v>
      </c>
      <c r="H98" s="5" t="n">
        <v>14500</v>
      </c>
      <c r="I98" s="6" t="n">
        <f aca="false">INDEX(SUPPLIERS!$D$3:$D$30,MATCH(C98,SUPPLIERS!$A$3:$A$30,0))</f>
        <v>0</v>
      </c>
      <c r="J98" s="5" t="n">
        <f aca="false">H98*(1-I98)</f>
        <v>14500</v>
      </c>
      <c r="K98" s="2" t="n">
        <v>3</v>
      </c>
      <c r="L98" s="2" t="s">
        <v>238</v>
      </c>
      <c r="M98" s="5" t="n">
        <f aca="false">IF(K98="","",J98/K98)</f>
        <v>4833.33333333333</v>
      </c>
      <c r="N98" s="2" t="n">
        <v>11.7</v>
      </c>
      <c r="O98" s="13" t="n">
        <v>0.05141</v>
      </c>
      <c r="P98" s="2" t="s">
        <v>310</v>
      </c>
      <c r="Q98" s="14" t="n">
        <f aca="false">MAX(N98/DRIVERS!$B$5,O98/DRIVERS!$B$6)</f>
        <v>0.0039</v>
      </c>
      <c r="R98" s="15" t="n">
        <f aca="false">ROUNDDOWN(1/Q98,0)</f>
        <v>256</v>
      </c>
      <c r="S98" s="5" t="n">
        <f aca="false">DRIVERS!$B$23*Q98/DRIVERS!$B$24</f>
        <v>20.2446107286508</v>
      </c>
      <c r="T98" s="5" t="n">
        <f aca="false">J98*INDEX(DRIVERS!$C$32:$C$42,MATCH(B98,DRIVERS!$A$32:$A$42,0))</f>
        <v>0</v>
      </c>
      <c r="U98" s="5" t="n">
        <f aca="false">J98*INDEX(SUPPLIERS!$E$3:$E$30,MATCH(C98,SUPPLIERS!$A$3:$A$30,0))</f>
        <v>0</v>
      </c>
      <c r="V98" s="5" t="n">
        <v>0</v>
      </c>
      <c r="W98" s="5" t="n">
        <f aca="false">J98+S98+T98+U98+V98</f>
        <v>14520.2446107287</v>
      </c>
      <c r="X98" s="9" t="n">
        <f aca="false">W98/J98-1</f>
        <v>0.00139618005025177</v>
      </c>
      <c r="Y98" s="6" t="n">
        <f aca="false">INDEX(DRIVERS!$B$32:$B$42,MATCH(B98,DRIVERS!$A$32:$A$42,0))</f>
        <v>0.1</v>
      </c>
      <c r="Z98" s="5" t="n">
        <f aca="false">W98*(1+Y98)</f>
        <v>15972.2690718015</v>
      </c>
      <c r="AA98" s="5" t="n">
        <f aca="false">W98*(1+Y98+DRIVERS!$B$26)*(1+DRIVERS!$B$27)</f>
        <v>18702.0750586185</v>
      </c>
      <c r="AB98" s="2" t="s">
        <v>218</v>
      </c>
      <c r="AC98" s="8"/>
    </row>
    <row r="99" customFormat="false" ht="15" hidden="false" customHeight="false" outlineLevel="0" collapsed="false">
      <c r="A99" s="2" t="s">
        <v>502</v>
      </c>
      <c r="B99" s="2" t="s">
        <v>235</v>
      </c>
      <c r="C99" s="2" t="s">
        <v>92</v>
      </c>
      <c r="D99" s="2" t="s">
        <v>503</v>
      </c>
      <c r="E99" s="2" t="s">
        <v>504</v>
      </c>
      <c r="F99" s="2" t="s">
        <v>186</v>
      </c>
      <c r="G99" s="2" t="s">
        <v>186</v>
      </c>
      <c r="H99" s="5" t="n">
        <v>29500</v>
      </c>
      <c r="I99" s="6" t="n">
        <f aca="false">INDEX(SUPPLIERS!$D$3:$D$30,MATCH(C99,SUPPLIERS!$A$3:$A$30,0))</f>
        <v>0</v>
      </c>
      <c r="J99" s="5" t="n">
        <f aca="false">H99*(1-I99)</f>
        <v>29500</v>
      </c>
      <c r="K99" s="2" t="n">
        <v>6</v>
      </c>
      <c r="L99" s="2" t="s">
        <v>238</v>
      </c>
      <c r="M99" s="5" t="n">
        <f aca="false">IF(K99="","",J99/K99)</f>
        <v>4916.66666666667</v>
      </c>
      <c r="N99" s="2" t="n">
        <v>32.5</v>
      </c>
      <c r="O99" s="13" t="n">
        <v>0.06772</v>
      </c>
      <c r="P99" s="2" t="s">
        <v>310</v>
      </c>
      <c r="Q99" s="14" t="n">
        <f aca="false">MAX(N99/DRIVERS!$B$5,O99/DRIVERS!$B$6)</f>
        <v>0.0108333333333333</v>
      </c>
      <c r="R99" s="15" t="n">
        <f aca="false">ROUNDDOWN(1/Q99,0)</f>
        <v>92</v>
      </c>
      <c r="S99" s="5" t="n">
        <f aca="false">DRIVERS!$B$23*Q99/DRIVERS!$B$24</f>
        <v>56.2350298018078</v>
      </c>
      <c r="T99" s="5" t="n">
        <f aca="false">J99*INDEX(DRIVERS!$C$32:$C$42,MATCH(B99,DRIVERS!$A$32:$A$42,0))</f>
        <v>0</v>
      </c>
      <c r="U99" s="5" t="n">
        <f aca="false">J99*INDEX(SUPPLIERS!$E$3:$E$30,MATCH(C99,SUPPLIERS!$A$3:$A$30,0))</f>
        <v>0</v>
      </c>
      <c r="V99" s="5" t="n">
        <v>0</v>
      </c>
      <c r="W99" s="5" t="n">
        <f aca="false">J99+S99+T99+U99+V99</f>
        <v>29556.2350298018</v>
      </c>
      <c r="X99" s="9" t="n">
        <f aca="false">W99/J99-1</f>
        <v>0.00190627219667139</v>
      </c>
      <c r="Y99" s="6" t="n">
        <f aca="false">INDEX(DRIVERS!$B$32:$B$42,MATCH(B99,DRIVERS!$A$32:$A$42,0))</f>
        <v>0.1</v>
      </c>
      <c r="Z99" s="5" t="n">
        <f aca="false">W99*(1+Y99)</f>
        <v>32511.858532782</v>
      </c>
      <c r="AA99" s="5" t="n">
        <f aca="false">W99*(1+Y99+DRIVERS!$B$26)*(1+DRIVERS!$B$27)</f>
        <v>38068.4307183847</v>
      </c>
      <c r="AB99" s="2" t="s">
        <v>218</v>
      </c>
      <c r="AC99" s="8"/>
    </row>
    <row r="100" customFormat="false" ht="15" hidden="false" customHeight="false" outlineLevel="0" collapsed="false">
      <c r="A100" s="2" t="s">
        <v>505</v>
      </c>
      <c r="B100" s="2" t="s">
        <v>235</v>
      </c>
      <c r="C100" s="2" t="s">
        <v>92</v>
      </c>
      <c r="D100" s="2" t="s">
        <v>506</v>
      </c>
      <c r="E100" s="2" t="s">
        <v>507</v>
      </c>
      <c r="F100" s="2" t="s">
        <v>186</v>
      </c>
      <c r="G100" s="2" t="s">
        <v>186</v>
      </c>
      <c r="H100" s="5" t="n">
        <v>5500</v>
      </c>
      <c r="I100" s="6" t="n">
        <f aca="false">INDEX(SUPPLIERS!$D$3:$D$30,MATCH(C100,SUPPLIERS!$A$3:$A$30,0))</f>
        <v>0</v>
      </c>
      <c r="J100" s="5" t="n">
        <f aca="false">H100*(1-I100)</f>
        <v>5500</v>
      </c>
      <c r="K100" s="2" t="n">
        <v>1</v>
      </c>
      <c r="L100" s="2" t="s">
        <v>238</v>
      </c>
      <c r="M100" s="5" t="n">
        <f aca="false">IF(K100="","",J100/K100)</f>
        <v>5500</v>
      </c>
      <c r="N100" s="2" t="n">
        <v>11</v>
      </c>
      <c r="O100" s="13" t="n">
        <v>0.03381</v>
      </c>
      <c r="P100" s="2" t="s">
        <v>310</v>
      </c>
      <c r="Q100" s="14" t="n">
        <f aca="false">MAX(N100/DRIVERS!$B$5,O100/DRIVERS!$B$6)</f>
        <v>0.00366666666666667</v>
      </c>
      <c r="R100" s="15" t="n">
        <f aca="false">ROUNDDOWN(1/Q100,0)</f>
        <v>272</v>
      </c>
      <c r="S100" s="5" t="n">
        <f aca="false">DRIVERS!$B$23*Q100/DRIVERS!$B$24</f>
        <v>19.0333947021503</v>
      </c>
      <c r="T100" s="5" t="n">
        <f aca="false">J100*INDEX(DRIVERS!$C$32:$C$42,MATCH(B100,DRIVERS!$A$32:$A$42,0))</f>
        <v>0</v>
      </c>
      <c r="U100" s="5" t="n">
        <f aca="false">J100*INDEX(SUPPLIERS!$E$3:$E$30,MATCH(C100,SUPPLIERS!$A$3:$A$30,0))</f>
        <v>0</v>
      </c>
      <c r="V100" s="5" t="n">
        <v>0</v>
      </c>
      <c r="W100" s="5" t="n">
        <f aca="false">J100+S100+T100+U100+V100</f>
        <v>5519.03339470215</v>
      </c>
      <c r="X100" s="9" t="n">
        <f aca="false">W100/J100-1</f>
        <v>0.00346061721857271</v>
      </c>
      <c r="Y100" s="6" t="n">
        <f aca="false">INDEX(DRIVERS!$B$32:$B$42,MATCH(B100,DRIVERS!$A$32:$A$42,0))</f>
        <v>0.1</v>
      </c>
      <c r="Z100" s="5" t="n">
        <f aca="false">W100*(1+Y100)</f>
        <v>6070.93673417237</v>
      </c>
      <c r="AA100" s="5" t="n">
        <f aca="false">W100*(1+Y100+DRIVERS!$B$26)*(1+DRIVERS!$B$27)</f>
        <v>7108.51501237637</v>
      </c>
      <c r="AB100" s="2" t="s">
        <v>218</v>
      </c>
      <c r="AC100" s="8"/>
    </row>
    <row r="101" customFormat="false" ht="15" hidden="false" customHeight="false" outlineLevel="0" collapsed="false">
      <c r="A101" s="2" t="s">
        <v>508</v>
      </c>
      <c r="B101" s="2" t="s">
        <v>235</v>
      </c>
      <c r="C101" s="2" t="s">
        <v>92</v>
      </c>
      <c r="D101" s="2" t="s">
        <v>509</v>
      </c>
      <c r="E101" s="2" t="s">
        <v>510</v>
      </c>
      <c r="F101" s="2" t="s">
        <v>186</v>
      </c>
      <c r="G101" s="2" t="s">
        <v>186</v>
      </c>
      <c r="H101" s="5" t="n">
        <v>19500</v>
      </c>
      <c r="I101" s="6" t="n">
        <f aca="false">INDEX(SUPPLIERS!$D$3:$D$30,MATCH(C101,SUPPLIERS!$A$3:$A$30,0))</f>
        <v>0</v>
      </c>
      <c r="J101" s="5" t="n">
        <f aca="false">H101*(1-I101)</f>
        <v>19500</v>
      </c>
      <c r="K101" s="2" t="n">
        <v>3</v>
      </c>
      <c r="L101" s="2" t="s">
        <v>238</v>
      </c>
      <c r="M101" s="5" t="n">
        <f aca="false">IF(K101="","",J101/K101)</f>
        <v>6500</v>
      </c>
      <c r="N101" s="2" t="n">
        <v>22</v>
      </c>
      <c r="O101" s="13" t="n">
        <v>0.05166</v>
      </c>
      <c r="P101" s="2" t="s">
        <v>310</v>
      </c>
      <c r="Q101" s="14" t="n">
        <f aca="false">MAX(N101/DRIVERS!$B$5,O101/DRIVERS!$B$6)</f>
        <v>0.00733333333333333</v>
      </c>
      <c r="R101" s="15" t="n">
        <f aca="false">ROUNDDOWN(1/Q101,0)</f>
        <v>136</v>
      </c>
      <c r="S101" s="5" t="n">
        <f aca="false">DRIVERS!$B$23*Q101/DRIVERS!$B$24</f>
        <v>38.0667894043006</v>
      </c>
      <c r="T101" s="5" t="n">
        <f aca="false">J101*INDEX(DRIVERS!$C$32:$C$42,MATCH(B101,DRIVERS!$A$32:$A$42,0))</f>
        <v>0</v>
      </c>
      <c r="U101" s="5" t="n">
        <f aca="false">J101*INDEX(SUPPLIERS!$E$3:$E$30,MATCH(C101,SUPPLIERS!$A$3:$A$30,0))</f>
        <v>0</v>
      </c>
      <c r="V101" s="5" t="n">
        <v>0</v>
      </c>
      <c r="W101" s="5" t="n">
        <f aca="false">J101+S101+T101+U101+V101</f>
        <v>19538.0667894043</v>
      </c>
      <c r="X101" s="9" t="n">
        <f aca="false">W101/J101-1</f>
        <v>0.00195214304637426</v>
      </c>
      <c r="Y101" s="6" t="n">
        <f aca="false">INDEX(DRIVERS!$B$32:$B$42,MATCH(B101,DRIVERS!$A$32:$A$42,0))</f>
        <v>0.1</v>
      </c>
      <c r="Z101" s="5" t="n">
        <f aca="false">W101*(1+Y101)</f>
        <v>21491.8734683447</v>
      </c>
      <c r="AA101" s="5" t="n">
        <f aca="false">W101*(1+Y101+DRIVERS!$B$26)*(1+DRIVERS!$B$27)</f>
        <v>25165.0300247527</v>
      </c>
      <c r="AB101" s="2" t="s">
        <v>218</v>
      </c>
      <c r="AC101" s="8"/>
    </row>
    <row r="102" customFormat="false" ht="15" hidden="false" customHeight="false" outlineLevel="0" collapsed="false">
      <c r="A102" s="2" t="s">
        <v>511</v>
      </c>
      <c r="B102" s="2" t="s">
        <v>235</v>
      </c>
      <c r="C102" s="2" t="s">
        <v>92</v>
      </c>
      <c r="D102" s="2" t="s">
        <v>512</v>
      </c>
      <c r="E102" s="2" t="s">
        <v>513</v>
      </c>
      <c r="F102" s="2" t="s">
        <v>186</v>
      </c>
      <c r="G102" s="2" t="s">
        <v>186</v>
      </c>
      <c r="H102" s="5" t="n">
        <v>9000</v>
      </c>
      <c r="I102" s="6" t="n">
        <f aca="false">INDEX(SUPPLIERS!$D$3:$D$30,MATCH(C102,SUPPLIERS!$A$3:$A$30,0))</f>
        <v>0</v>
      </c>
      <c r="J102" s="5" t="n">
        <f aca="false">H102*(1-I102)</f>
        <v>9000</v>
      </c>
      <c r="K102" s="2" t="n">
        <v>1.2</v>
      </c>
      <c r="L102" s="2" t="s">
        <v>238</v>
      </c>
      <c r="M102" s="5" t="n">
        <f aca="false">IF(K102="","",J102/K102)</f>
        <v>7500</v>
      </c>
      <c r="N102" s="2" t="n">
        <v>11.5</v>
      </c>
      <c r="O102" s="13" t="n">
        <v>0.03284</v>
      </c>
      <c r="P102" s="2" t="s">
        <v>310</v>
      </c>
      <c r="Q102" s="14" t="n">
        <f aca="false">MAX(N102/DRIVERS!$B$5,O102/DRIVERS!$B$6)</f>
        <v>0.00383333333333333</v>
      </c>
      <c r="R102" s="15" t="n">
        <f aca="false">ROUNDDOWN(1/Q102,0)</f>
        <v>260</v>
      </c>
      <c r="S102" s="5" t="n">
        <f aca="false">DRIVERS!$B$23*Q102/DRIVERS!$B$24</f>
        <v>19.8985490067935</v>
      </c>
      <c r="T102" s="5" t="n">
        <f aca="false">J102*INDEX(DRIVERS!$C$32:$C$42,MATCH(B102,DRIVERS!$A$32:$A$42,0))</f>
        <v>0</v>
      </c>
      <c r="U102" s="5" t="n">
        <f aca="false">J102*INDEX(SUPPLIERS!$E$3:$E$30,MATCH(C102,SUPPLIERS!$A$3:$A$30,0))</f>
        <v>0</v>
      </c>
      <c r="V102" s="5" t="n">
        <v>0</v>
      </c>
      <c r="W102" s="5" t="n">
        <f aca="false">J102+S102+T102+U102+V102</f>
        <v>9019.89854900679</v>
      </c>
      <c r="X102" s="9" t="n">
        <f aca="false">W102/J102-1</f>
        <v>0.00221094988964365</v>
      </c>
      <c r="Y102" s="6" t="n">
        <f aca="false">INDEX(DRIVERS!$B$32:$B$42,MATCH(B102,DRIVERS!$A$32:$A$42,0))</f>
        <v>0.1</v>
      </c>
      <c r="Z102" s="5" t="n">
        <f aca="false">W102*(1+Y102)</f>
        <v>9921.88840390747</v>
      </c>
      <c r="AA102" s="5" t="n">
        <f aca="false">W102*(1+Y102+DRIVERS!$B$26)*(1+DRIVERS!$B$27)</f>
        <v>11617.6293311208</v>
      </c>
      <c r="AB102" s="2" t="s">
        <v>218</v>
      </c>
      <c r="AC102" s="8"/>
    </row>
    <row r="103" customFormat="false" ht="15" hidden="false" customHeight="false" outlineLevel="0" collapsed="false">
      <c r="A103" s="2" t="s">
        <v>514</v>
      </c>
      <c r="B103" s="2" t="s">
        <v>515</v>
      </c>
      <c r="C103" s="2" t="s">
        <v>93</v>
      </c>
      <c r="D103" s="2" t="s">
        <v>516</v>
      </c>
      <c r="E103" s="2" t="s">
        <v>517</v>
      </c>
      <c r="F103" s="2" t="s">
        <v>186</v>
      </c>
      <c r="G103" s="2" t="s">
        <v>186</v>
      </c>
      <c r="H103" s="5" t="n">
        <v>38000</v>
      </c>
      <c r="I103" s="6" t="n">
        <f aca="false">INDEX(SUPPLIERS!$D$3:$D$30,MATCH(C103,SUPPLIERS!$A$3:$A$30,0))</f>
        <v>0</v>
      </c>
      <c r="J103" s="5" t="n">
        <f aca="false">H103*(1-I103)</f>
        <v>38000</v>
      </c>
      <c r="K103" s="2" t="n">
        <v>5.12</v>
      </c>
      <c r="L103" s="2" t="s">
        <v>518</v>
      </c>
      <c r="M103" s="5" t="n">
        <f aca="false">IF(K103="","",J103/K103)</f>
        <v>7421.875</v>
      </c>
      <c r="N103" s="2" t="n">
        <v>48</v>
      </c>
      <c r="O103" s="13" t="n">
        <v>0.15469</v>
      </c>
      <c r="P103" s="2" t="s">
        <v>519</v>
      </c>
      <c r="Q103" s="14" t="n">
        <f aca="false">MAX(N103/DRIVERS!$B$5,O103/DRIVERS!$B$6)</f>
        <v>0.016</v>
      </c>
      <c r="R103" s="15" t="n">
        <f aca="false">ROUNDDOWN(1/Q103,0)</f>
        <v>62</v>
      </c>
      <c r="S103" s="5" t="n">
        <f aca="false">DRIVERS!$B$23*Q103/DRIVERS!$B$24</f>
        <v>83.0548132457469</v>
      </c>
      <c r="T103" s="5" t="n">
        <f aca="false">J103*INDEX(DRIVERS!$C$32:$C$42,MATCH(B103,DRIVERS!$A$32:$A$42,0))</f>
        <v>0</v>
      </c>
      <c r="U103" s="5" t="n">
        <f aca="false">J103*INDEX(SUPPLIERS!$E$3:$E$30,MATCH(C103,SUPPLIERS!$A$3:$A$30,0))</f>
        <v>0</v>
      </c>
      <c r="V103" s="5" t="n">
        <v>0</v>
      </c>
      <c r="W103" s="5" t="n">
        <f aca="false">J103+S103+T103+U103+V103</f>
        <v>38083.0548132458</v>
      </c>
      <c r="X103" s="9" t="n">
        <f aca="false">W103/J103-1</f>
        <v>0.00218565298015117</v>
      </c>
      <c r="Y103" s="6" t="n">
        <f aca="false">INDEX(DRIVERS!$B$32:$B$42,MATCH(B103,DRIVERS!$A$32:$A$42,0))</f>
        <v>0.15</v>
      </c>
      <c r="Z103" s="5" t="n">
        <f aca="false">W103*(1+Y103)</f>
        <v>43795.5130352326</v>
      </c>
      <c r="AA103" s="5" t="n">
        <f aca="false">W103*(1+Y103+DRIVERS!$B$26)*(1+DRIVERS!$B$27)</f>
        <v>51183.6256690023</v>
      </c>
      <c r="AB103" s="2" t="s">
        <v>189</v>
      </c>
      <c r="AC103" s="5" t="n">
        <v>38000</v>
      </c>
      <c r="AD103" s="2" t="s">
        <v>520</v>
      </c>
    </row>
    <row r="104" customFormat="false" ht="15" hidden="false" customHeight="false" outlineLevel="0" collapsed="false">
      <c r="A104" s="2" t="s">
        <v>521</v>
      </c>
      <c r="B104" s="2" t="s">
        <v>515</v>
      </c>
      <c r="C104" s="2" t="s">
        <v>93</v>
      </c>
      <c r="D104" s="2" t="s">
        <v>522</v>
      </c>
      <c r="E104" s="2" t="s">
        <v>523</v>
      </c>
      <c r="F104" s="2" t="s">
        <v>186</v>
      </c>
      <c r="G104" s="2" t="s">
        <v>186</v>
      </c>
      <c r="H104" s="5" t="n">
        <v>44000</v>
      </c>
      <c r="I104" s="6" t="n">
        <f aca="false">INDEX(SUPPLIERS!$D$3:$D$30,MATCH(C104,SUPPLIERS!$A$3:$A$30,0))</f>
        <v>0</v>
      </c>
      <c r="J104" s="5" t="n">
        <f aca="false">H104*(1-I104)</f>
        <v>44000</v>
      </c>
      <c r="K104" s="2" t="n">
        <v>5.12</v>
      </c>
      <c r="L104" s="2" t="s">
        <v>518</v>
      </c>
      <c r="M104" s="5" t="n">
        <f aca="false">IF(K104="","",J104/K104)</f>
        <v>8593.75</v>
      </c>
      <c r="N104" s="2" t="n">
        <v>48</v>
      </c>
      <c r="O104" s="13" t="n">
        <v>0.155</v>
      </c>
      <c r="P104" s="2" t="s">
        <v>253</v>
      </c>
      <c r="Q104" s="14" t="n">
        <f aca="false">MAX(N104/DRIVERS!$B$5,O104/DRIVERS!$B$6)</f>
        <v>0.016</v>
      </c>
      <c r="R104" s="15" t="n">
        <f aca="false">ROUNDDOWN(1/Q104,0)</f>
        <v>62</v>
      </c>
      <c r="S104" s="5" t="n">
        <f aca="false">DRIVERS!$B$23*Q104/DRIVERS!$B$24</f>
        <v>83.0548132457469</v>
      </c>
      <c r="T104" s="5" t="n">
        <f aca="false">J104*INDEX(DRIVERS!$C$32:$C$42,MATCH(B104,DRIVERS!$A$32:$A$42,0))</f>
        <v>0</v>
      </c>
      <c r="U104" s="5" t="n">
        <f aca="false">J104*INDEX(SUPPLIERS!$E$3:$E$30,MATCH(C104,SUPPLIERS!$A$3:$A$30,0))</f>
        <v>0</v>
      </c>
      <c r="V104" s="5" t="n">
        <v>0</v>
      </c>
      <c r="W104" s="5" t="n">
        <f aca="false">J104+S104+T104+U104+V104</f>
        <v>44083.0548132458</v>
      </c>
      <c r="X104" s="9" t="n">
        <f aca="false">W104/J104-1</f>
        <v>0.00188760939194887</v>
      </c>
      <c r="Y104" s="6" t="n">
        <f aca="false">INDEX(DRIVERS!$B$32:$B$42,MATCH(B104,DRIVERS!$A$32:$A$42,0))</f>
        <v>0.15</v>
      </c>
      <c r="Z104" s="5" t="n">
        <f aca="false">W104*(1+Y104)</f>
        <v>50695.5130352326</v>
      </c>
      <c r="AA104" s="5" t="n">
        <f aca="false">W104*(1+Y104+DRIVERS!$B$26)*(1+DRIVERS!$B$27)</f>
        <v>59247.6256690023</v>
      </c>
      <c r="AB104" s="2" t="s">
        <v>189</v>
      </c>
      <c r="AC104" s="5" t="n">
        <v>44000</v>
      </c>
    </row>
    <row r="105" customFormat="false" ht="15" hidden="false" customHeight="false" outlineLevel="0" collapsed="false">
      <c r="A105" s="2" t="s">
        <v>524</v>
      </c>
      <c r="B105" s="2" t="s">
        <v>515</v>
      </c>
      <c r="C105" s="2" t="s">
        <v>93</v>
      </c>
      <c r="D105" s="2" t="s">
        <v>525</v>
      </c>
      <c r="E105" s="2" t="s">
        <v>526</v>
      </c>
      <c r="F105" s="2" t="s">
        <v>186</v>
      </c>
      <c r="G105" s="2" t="s">
        <v>186</v>
      </c>
      <c r="H105" s="5" t="n">
        <v>82000</v>
      </c>
      <c r="I105" s="6" t="n">
        <f aca="false">INDEX(SUPPLIERS!$D$3:$D$30,MATCH(C105,SUPPLIERS!$A$3:$A$30,0))</f>
        <v>0</v>
      </c>
      <c r="J105" s="5" t="n">
        <f aca="false">H105*(1-I105)</f>
        <v>82000</v>
      </c>
      <c r="K105" s="2" t="n">
        <v>10.24</v>
      </c>
      <c r="L105" s="2" t="s">
        <v>518</v>
      </c>
      <c r="M105" s="5" t="n">
        <f aca="false">IF(K105="","",J105/K105)</f>
        <v>8007.8125</v>
      </c>
      <c r="N105" s="2" t="n">
        <v>95</v>
      </c>
      <c r="O105" s="13" t="n">
        <v>0.29543</v>
      </c>
      <c r="P105" s="2" t="s">
        <v>519</v>
      </c>
      <c r="Q105" s="14" t="n">
        <f aca="false">MAX(N105/DRIVERS!$B$5,O105/DRIVERS!$B$6)</f>
        <v>0.0316666666666667</v>
      </c>
      <c r="R105" s="15" t="n">
        <f aca="false">ROUNDDOWN(1/Q105,0)</f>
        <v>31</v>
      </c>
      <c r="S105" s="5" t="n">
        <f aca="false">DRIVERS!$B$23*Q105/DRIVERS!$B$24</f>
        <v>164.379317882207</v>
      </c>
      <c r="T105" s="5" t="n">
        <f aca="false">J105*INDEX(DRIVERS!$C$32:$C$42,MATCH(B105,DRIVERS!$A$32:$A$42,0))</f>
        <v>0</v>
      </c>
      <c r="U105" s="5" t="n">
        <f aca="false">J105*INDEX(SUPPLIERS!$E$3:$E$30,MATCH(C105,SUPPLIERS!$A$3:$A$30,0))</f>
        <v>0</v>
      </c>
      <c r="V105" s="5" t="n">
        <v>0</v>
      </c>
      <c r="W105" s="5" t="n">
        <f aca="false">J105+S105+T105+U105+V105</f>
        <v>82164.3793178822</v>
      </c>
      <c r="X105" s="9" t="n">
        <f aca="false">W105/J105-1</f>
        <v>0.0020046258278319</v>
      </c>
      <c r="Y105" s="6" t="n">
        <f aca="false">INDEX(DRIVERS!$B$32:$B$42,MATCH(B105,DRIVERS!$A$32:$A$42,0))</f>
        <v>0.15</v>
      </c>
      <c r="Z105" s="5" t="n">
        <f aca="false">W105*(1+Y105)</f>
        <v>94489.0362155645</v>
      </c>
      <c r="AA105" s="5" t="n">
        <f aca="false">W105*(1+Y105+DRIVERS!$B$26)*(1+DRIVERS!$B$27)</f>
        <v>110428.925803234</v>
      </c>
      <c r="AB105" s="2" t="s">
        <v>189</v>
      </c>
      <c r="AC105" s="5" t="n">
        <v>82000</v>
      </c>
      <c r="AD105" s="2" t="s">
        <v>527</v>
      </c>
    </row>
    <row r="106" customFormat="false" ht="15" hidden="false" customHeight="false" outlineLevel="0" collapsed="false">
      <c r="A106" s="2" t="s">
        <v>528</v>
      </c>
      <c r="B106" s="2" t="s">
        <v>515</v>
      </c>
      <c r="C106" s="2" t="s">
        <v>93</v>
      </c>
      <c r="D106" s="2" t="s">
        <v>529</v>
      </c>
      <c r="E106" s="2" t="s">
        <v>530</v>
      </c>
      <c r="F106" s="2" t="s">
        <v>186</v>
      </c>
      <c r="G106" s="2" t="s">
        <v>186</v>
      </c>
      <c r="H106" s="5" t="n">
        <v>93000</v>
      </c>
      <c r="I106" s="6" t="n">
        <f aca="false">INDEX(SUPPLIERS!$D$3:$D$30,MATCH(C106,SUPPLIERS!$A$3:$A$30,0))</f>
        <v>0</v>
      </c>
      <c r="J106" s="5" t="n">
        <f aca="false">H106*(1-I106)</f>
        <v>93000</v>
      </c>
      <c r="K106" s="2" t="n">
        <v>15.36</v>
      </c>
      <c r="L106" s="2" t="s">
        <v>518</v>
      </c>
      <c r="M106" s="5" t="n">
        <f aca="false">IF(K106="","",J106/K106)</f>
        <v>6054.6875</v>
      </c>
      <c r="N106" s="2" t="n">
        <v>130</v>
      </c>
      <c r="O106" s="13" t="n">
        <v>0.29543</v>
      </c>
      <c r="P106" s="2" t="s">
        <v>519</v>
      </c>
      <c r="Q106" s="14" t="n">
        <f aca="false">MAX(N106/DRIVERS!$B$5,O106/DRIVERS!$B$6)</f>
        <v>0.0433333333333333</v>
      </c>
      <c r="R106" s="15" t="n">
        <f aca="false">ROUNDDOWN(1/Q106,0)</f>
        <v>23</v>
      </c>
      <c r="S106" s="5" t="n">
        <f aca="false">DRIVERS!$B$23*Q106/DRIVERS!$B$24</f>
        <v>224.940119207231</v>
      </c>
      <c r="T106" s="5" t="n">
        <f aca="false">J106*INDEX(DRIVERS!$C$32:$C$42,MATCH(B106,DRIVERS!$A$32:$A$42,0))</f>
        <v>0</v>
      </c>
      <c r="U106" s="5" t="n">
        <f aca="false">J106*INDEX(SUPPLIERS!$E$3:$E$30,MATCH(C106,SUPPLIERS!$A$3:$A$30,0))</f>
        <v>0</v>
      </c>
      <c r="V106" s="5" t="n">
        <v>0</v>
      </c>
      <c r="W106" s="5" t="n">
        <f aca="false">J106+S106+T106+U106+V106</f>
        <v>93224.9401192072</v>
      </c>
      <c r="X106" s="9" t="n">
        <f aca="false">W106/J106-1</f>
        <v>0.00241871095921753</v>
      </c>
      <c r="Y106" s="6" t="n">
        <f aca="false">INDEX(DRIVERS!$B$32:$B$42,MATCH(B106,DRIVERS!$A$32:$A$42,0))</f>
        <v>0.15</v>
      </c>
      <c r="Z106" s="5" t="n">
        <f aca="false">W106*(1+Y106)</f>
        <v>107208.681137088</v>
      </c>
      <c r="AA106" s="5" t="n">
        <f aca="false">W106*(1+Y106+DRIVERS!$B$26)*(1+DRIVERS!$B$27)</f>
        <v>125294.319520215</v>
      </c>
      <c r="AB106" s="2" t="s">
        <v>189</v>
      </c>
      <c r="AC106" s="5" t="n">
        <v>93000</v>
      </c>
      <c r="AD106" s="2" t="s">
        <v>531</v>
      </c>
    </row>
    <row r="107" customFormat="false" ht="15" hidden="false" customHeight="false" outlineLevel="0" collapsed="false">
      <c r="A107" s="2" t="s">
        <v>532</v>
      </c>
      <c r="B107" s="2" t="s">
        <v>515</v>
      </c>
      <c r="C107" s="2" t="s">
        <v>91</v>
      </c>
      <c r="D107" s="2" t="s">
        <v>533</v>
      </c>
      <c r="E107" s="2" t="s">
        <v>534</v>
      </c>
      <c r="F107" s="2" t="s">
        <v>186</v>
      </c>
      <c r="G107" s="2" t="s">
        <v>186</v>
      </c>
      <c r="H107" s="5" t="n">
        <v>43000</v>
      </c>
      <c r="I107" s="6" t="n">
        <f aca="false">INDEX(SUPPLIERS!$D$3:$D$30,MATCH(C107,SUPPLIERS!$A$3:$A$30,0))</f>
        <v>0</v>
      </c>
      <c r="J107" s="5" t="n">
        <f aca="false">H107*(1-I107)</f>
        <v>43000</v>
      </c>
      <c r="K107" s="2" t="n">
        <v>5.12</v>
      </c>
      <c r="L107" s="2" t="s">
        <v>518</v>
      </c>
      <c r="M107" s="5" t="n">
        <f aca="false">IF(K107="","",J107/K107)</f>
        <v>8398.4375</v>
      </c>
      <c r="N107" s="2" t="n">
        <v>55</v>
      </c>
      <c r="O107" s="13" t="n">
        <v>0.10695</v>
      </c>
      <c r="P107" s="2" t="s">
        <v>535</v>
      </c>
      <c r="Q107" s="14" t="n">
        <f aca="false">MAX(N107/DRIVERS!$B$5,O107/DRIVERS!$B$6)</f>
        <v>0.0183333333333333</v>
      </c>
      <c r="R107" s="15" t="n">
        <f aca="false">ROUNDDOWN(1/Q107,0)</f>
        <v>54</v>
      </c>
      <c r="S107" s="5" t="n">
        <f aca="false">DRIVERS!$B$23*Q107/DRIVERS!$B$24</f>
        <v>95.1669735107516</v>
      </c>
      <c r="T107" s="5" t="n">
        <f aca="false">J107*INDEX(DRIVERS!$C$32:$C$42,MATCH(B107,DRIVERS!$A$32:$A$42,0))</f>
        <v>0</v>
      </c>
      <c r="U107" s="5" t="n">
        <f aca="false">J107*INDEX(SUPPLIERS!$E$3:$E$30,MATCH(C107,SUPPLIERS!$A$3:$A$30,0))</f>
        <v>0</v>
      </c>
      <c r="V107" s="5" t="n">
        <v>0</v>
      </c>
      <c r="W107" s="5" t="n">
        <f aca="false">J107+S107+T107+U107+V107</f>
        <v>43095.1669735108</v>
      </c>
      <c r="X107" s="9" t="n">
        <f aca="false">W107/J107-1</f>
        <v>0.00221318543048255</v>
      </c>
      <c r="Y107" s="6" t="n">
        <f aca="false">INDEX(DRIVERS!$B$32:$B$42,MATCH(B107,DRIVERS!$A$32:$A$42,0))</f>
        <v>0.15</v>
      </c>
      <c r="Z107" s="5" t="n">
        <f aca="false">W107*(1+Y107)</f>
        <v>49559.4420195374</v>
      </c>
      <c r="AA107" s="5" t="n">
        <f aca="false">W107*(1+Y107+DRIVERS!$B$26)*(1+DRIVERS!$B$27)</f>
        <v>57919.9044123985</v>
      </c>
      <c r="AB107" s="2" t="s">
        <v>272</v>
      </c>
      <c r="AC107" s="8"/>
      <c r="AD107" s="2" t="s">
        <v>536</v>
      </c>
    </row>
    <row r="108" customFormat="false" ht="15" hidden="false" customHeight="false" outlineLevel="0" collapsed="false">
      <c r="A108" s="2" t="s">
        <v>537</v>
      </c>
      <c r="B108" s="2" t="s">
        <v>515</v>
      </c>
      <c r="C108" s="2" t="s">
        <v>91</v>
      </c>
      <c r="D108" s="2" t="s">
        <v>538</v>
      </c>
      <c r="E108" s="2" t="s">
        <v>539</v>
      </c>
      <c r="F108" s="2" t="s">
        <v>186</v>
      </c>
      <c r="G108" s="2" t="s">
        <v>186</v>
      </c>
      <c r="H108" s="5" t="n">
        <v>71000</v>
      </c>
      <c r="I108" s="6" t="n">
        <f aca="false">INDEX(SUPPLIERS!$D$3:$D$30,MATCH(C108,SUPPLIERS!$A$3:$A$30,0))</f>
        <v>0</v>
      </c>
      <c r="J108" s="5" t="n">
        <f aca="false">H108*(1-I108)</f>
        <v>71000</v>
      </c>
      <c r="K108" s="2" t="n">
        <v>10</v>
      </c>
      <c r="L108" s="2" t="s">
        <v>518</v>
      </c>
      <c r="M108" s="5" t="n">
        <f aca="false">IF(K108="","",J108/K108)</f>
        <v>7100</v>
      </c>
      <c r="N108" s="2" t="n">
        <v>88</v>
      </c>
      <c r="O108" s="13" t="n">
        <v>0.16904</v>
      </c>
      <c r="P108" s="2" t="s">
        <v>535</v>
      </c>
      <c r="Q108" s="14" t="n">
        <f aca="false">MAX(N108/DRIVERS!$B$5,O108/DRIVERS!$B$6)</f>
        <v>0.0293333333333333</v>
      </c>
      <c r="R108" s="15" t="n">
        <f aca="false">ROUNDDOWN(1/Q108,0)</f>
        <v>34</v>
      </c>
      <c r="S108" s="5" t="n">
        <f aca="false">DRIVERS!$B$23*Q108/DRIVERS!$B$24</f>
        <v>152.267157617203</v>
      </c>
      <c r="T108" s="5" t="n">
        <f aca="false">J108*INDEX(DRIVERS!$C$32:$C$42,MATCH(B108,DRIVERS!$A$32:$A$42,0))</f>
        <v>0</v>
      </c>
      <c r="U108" s="5" t="n">
        <f aca="false">J108*INDEX(SUPPLIERS!$E$3:$E$30,MATCH(C108,SUPPLIERS!$A$3:$A$30,0))</f>
        <v>0</v>
      </c>
      <c r="V108" s="5" t="n">
        <v>0</v>
      </c>
      <c r="W108" s="5" t="n">
        <f aca="false">J108+S108+T108+U108+V108</f>
        <v>71152.2671576172</v>
      </c>
      <c r="X108" s="9" t="n">
        <f aca="false">W108/J108-1</f>
        <v>0.00214460785376347</v>
      </c>
      <c r="Y108" s="6" t="n">
        <f aca="false">INDEX(DRIVERS!$B$32:$B$42,MATCH(B108,DRIVERS!$A$32:$A$42,0))</f>
        <v>0.15</v>
      </c>
      <c r="Z108" s="5" t="n">
        <f aca="false">W108*(1+Y108)</f>
        <v>81825.1072312598</v>
      </c>
      <c r="AA108" s="5" t="n">
        <f aca="false">W108*(1+Y108+DRIVERS!$B$26)*(1+DRIVERS!$B$27)</f>
        <v>95628.6470598375</v>
      </c>
      <c r="AB108" s="2" t="s">
        <v>272</v>
      </c>
      <c r="AC108" s="8"/>
      <c r="AD108" s="2" t="s">
        <v>540</v>
      </c>
    </row>
    <row r="109" customFormat="false" ht="15" hidden="false" customHeight="false" outlineLevel="0" collapsed="false">
      <c r="A109" s="2" t="s">
        <v>541</v>
      </c>
      <c r="B109" s="2" t="s">
        <v>515</v>
      </c>
      <c r="C109" s="2" t="s">
        <v>91</v>
      </c>
      <c r="D109" s="2" t="s">
        <v>542</v>
      </c>
      <c r="E109" s="2" t="s">
        <v>543</v>
      </c>
      <c r="F109" s="2" t="s">
        <v>186</v>
      </c>
      <c r="G109" s="2" t="s">
        <v>186</v>
      </c>
      <c r="H109" s="5" t="n">
        <v>97000</v>
      </c>
      <c r="I109" s="6" t="n">
        <f aca="false">INDEX(SUPPLIERS!$D$3:$D$30,MATCH(C109,SUPPLIERS!$A$3:$A$30,0))</f>
        <v>0</v>
      </c>
      <c r="J109" s="5" t="n">
        <f aca="false">H109*(1-I109)</f>
        <v>97000</v>
      </c>
      <c r="K109" s="2" t="n">
        <v>15</v>
      </c>
      <c r="L109" s="2" t="s">
        <v>518</v>
      </c>
      <c r="M109" s="5" t="n">
        <f aca="false">IF(K109="","",J109/K109)</f>
        <v>6466.66666666667</v>
      </c>
      <c r="N109" s="2" t="n">
        <v>140.5</v>
      </c>
      <c r="O109" s="13" t="n">
        <v>0.23976</v>
      </c>
      <c r="P109" s="2" t="s">
        <v>535</v>
      </c>
      <c r="Q109" s="14" t="n">
        <f aca="false">MAX(N109/DRIVERS!$B$5,O109/DRIVERS!$B$6)</f>
        <v>0.0468333333333333</v>
      </c>
      <c r="R109" s="15" t="n">
        <f aca="false">ROUNDDOWN(1/Q109,0)</f>
        <v>21</v>
      </c>
      <c r="S109" s="5" t="n">
        <f aca="false">DRIVERS!$B$23*Q109/DRIVERS!$B$24</f>
        <v>243.108359604738</v>
      </c>
      <c r="T109" s="5" t="n">
        <f aca="false">J109*INDEX(DRIVERS!$C$32:$C$42,MATCH(B109,DRIVERS!$A$32:$A$42,0))</f>
        <v>0</v>
      </c>
      <c r="U109" s="5" t="n">
        <f aca="false">J109*INDEX(SUPPLIERS!$E$3:$E$30,MATCH(C109,SUPPLIERS!$A$3:$A$30,0))</f>
        <v>0</v>
      </c>
      <c r="V109" s="5" t="n">
        <v>0</v>
      </c>
      <c r="W109" s="5" t="n">
        <f aca="false">J109+S109+T109+U109+V109</f>
        <v>97243.1083596047</v>
      </c>
      <c r="X109" s="9" t="n">
        <f aca="false">W109/J109-1</f>
        <v>0.00250627174850249</v>
      </c>
      <c r="Y109" s="6" t="n">
        <f aca="false">INDEX(DRIVERS!$B$32:$B$42,MATCH(B109,DRIVERS!$A$32:$A$42,0))</f>
        <v>0.15</v>
      </c>
      <c r="Z109" s="5" t="n">
        <f aca="false">W109*(1+Y109)</f>
        <v>111829.574613545</v>
      </c>
      <c r="AA109" s="5" t="n">
        <f aca="false">W109*(1+Y109+DRIVERS!$B$26)*(1+DRIVERS!$B$27)</f>
        <v>130694.737635309</v>
      </c>
      <c r="AB109" s="2" t="s">
        <v>272</v>
      </c>
      <c r="AC109" s="8"/>
      <c r="AD109" s="2" t="s">
        <v>544</v>
      </c>
    </row>
    <row r="110" customFormat="false" ht="15" hidden="false" customHeight="false" outlineLevel="0" collapsed="false">
      <c r="A110" s="2" t="s">
        <v>545</v>
      </c>
      <c r="B110" s="2" t="s">
        <v>515</v>
      </c>
      <c r="C110" s="2" t="s">
        <v>91</v>
      </c>
      <c r="D110" s="2" t="s">
        <v>546</v>
      </c>
      <c r="E110" s="2" t="s">
        <v>547</v>
      </c>
      <c r="F110" s="2" t="s">
        <v>186</v>
      </c>
      <c r="G110" s="2" t="s">
        <v>186</v>
      </c>
      <c r="H110" s="5" t="n">
        <v>174000</v>
      </c>
      <c r="I110" s="6" t="n">
        <f aca="false">INDEX(SUPPLIERS!$D$3:$D$30,MATCH(C110,SUPPLIERS!$A$3:$A$30,0))</f>
        <v>0</v>
      </c>
      <c r="J110" s="5" t="n">
        <f aca="false">H110*(1-I110)</f>
        <v>174000</v>
      </c>
      <c r="K110" s="2" t="n">
        <v>25</v>
      </c>
      <c r="L110" s="2" t="s">
        <v>518</v>
      </c>
      <c r="M110" s="5" t="n">
        <f aca="false">IF(K110="","",J110/K110)</f>
        <v>6960</v>
      </c>
      <c r="N110" s="2" t="n">
        <v>219.5</v>
      </c>
      <c r="O110" s="13" t="n">
        <v>0.36416</v>
      </c>
      <c r="P110" s="2" t="s">
        <v>535</v>
      </c>
      <c r="Q110" s="14" t="n">
        <f aca="false">MAX(N110/DRIVERS!$B$5,O110/DRIVERS!$B$6)</f>
        <v>0.0731666666666667</v>
      </c>
      <c r="R110" s="15" t="n">
        <f aca="false">ROUNDDOWN(1/Q110,0)</f>
        <v>13</v>
      </c>
      <c r="S110" s="5" t="n">
        <f aca="false">DRIVERS!$B$23*Q110/DRIVERS!$B$24</f>
        <v>379.802739738363</v>
      </c>
      <c r="T110" s="5" t="n">
        <f aca="false">J110*INDEX(DRIVERS!$C$32:$C$42,MATCH(B110,DRIVERS!$A$32:$A$42,0))</f>
        <v>0</v>
      </c>
      <c r="U110" s="5" t="n">
        <f aca="false">J110*INDEX(SUPPLIERS!$E$3:$E$30,MATCH(C110,SUPPLIERS!$A$3:$A$30,0))</f>
        <v>0</v>
      </c>
      <c r="V110" s="5" t="n">
        <v>0</v>
      </c>
      <c r="W110" s="5" t="n">
        <f aca="false">J110+S110+T110+U110+V110</f>
        <v>174379.802739738</v>
      </c>
      <c r="X110" s="9" t="n">
        <f aca="false">W110/J110-1</f>
        <v>0.00218277436631253</v>
      </c>
      <c r="Y110" s="6" t="n">
        <f aca="false">INDEX(DRIVERS!$B$32:$B$42,MATCH(B110,DRIVERS!$A$32:$A$42,0))</f>
        <v>0.15</v>
      </c>
      <c r="Z110" s="5" t="n">
        <f aca="false">W110*(1+Y110)</f>
        <v>200536.773150699</v>
      </c>
      <c r="AA110" s="5" t="n">
        <f aca="false">W110*(1+Y110+DRIVERS!$B$26)*(1+DRIVERS!$B$27)</f>
        <v>234366.454882208</v>
      </c>
      <c r="AB110" s="2" t="s">
        <v>272</v>
      </c>
      <c r="AC110" s="8"/>
      <c r="AD110" s="2" t="s">
        <v>548</v>
      </c>
    </row>
    <row r="111" customFormat="false" ht="15" hidden="false" customHeight="false" outlineLevel="0" collapsed="false">
      <c r="A111" s="2" t="s">
        <v>549</v>
      </c>
      <c r="B111" s="2" t="s">
        <v>515</v>
      </c>
      <c r="C111" s="2" t="s">
        <v>91</v>
      </c>
      <c r="D111" s="2" t="s">
        <v>550</v>
      </c>
      <c r="E111" s="2" t="s">
        <v>551</v>
      </c>
      <c r="F111" s="2" t="s">
        <v>186</v>
      </c>
      <c r="G111" s="2" t="s">
        <v>186</v>
      </c>
      <c r="H111" s="5" t="n">
        <v>46000</v>
      </c>
      <c r="I111" s="6" t="n">
        <f aca="false">INDEX(SUPPLIERS!$D$3:$D$30,MATCH(C111,SUPPLIERS!$A$3:$A$30,0))</f>
        <v>0</v>
      </c>
      <c r="J111" s="5" t="n">
        <f aca="false">H111*(1-I111)</f>
        <v>46000</v>
      </c>
      <c r="K111" s="2" t="n">
        <v>5.12</v>
      </c>
      <c r="L111" s="2" t="s">
        <v>518</v>
      </c>
      <c r="M111" s="5" t="n">
        <f aca="false">IF(K111="","",J111/K111)</f>
        <v>8984.375</v>
      </c>
      <c r="N111" s="2" t="n">
        <v>53</v>
      </c>
      <c r="O111" s="13" t="n">
        <v>0.10502</v>
      </c>
      <c r="P111" s="2" t="s">
        <v>535</v>
      </c>
      <c r="Q111" s="14" t="n">
        <f aca="false">MAX(N111/DRIVERS!$B$5,O111/DRIVERS!$B$6)</f>
        <v>0.0176666666666667</v>
      </c>
      <c r="R111" s="15" t="n">
        <f aca="false">ROUNDDOWN(1/Q111,0)</f>
        <v>56</v>
      </c>
      <c r="S111" s="5" t="n">
        <f aca="false">DRIVERS!$B$23*Q111/DRIVERS!$B$24</f>
        <v>91.7063562921788</v>
      </c>
      <c r="T111" s="5" t="n">
        <f aca="false">J111*INDEX(DRIVERS!$C$32:$C$42,MATCH(B111,DRIVERS!$A$32:$A$42,0))</f>
        <v>0</v>
      </c>
      <c r="U111" s="5" t="n">
        <f aca="false">J111*INDEX(SUPPLIERS!$E$3:$E$30,MATCH(C111,SUPPLIERS!$A$3:$A$30,0))</f>
        <v>0</v>
      </c>
      <c r="V111" s="5" t="n">
        <v>0</v>
      </c>
      <c r="W111" s="5" t="n">
        <f aca="false">J111+S111+T111+U111+V111</f>
        <v>46091.7063562922</v>
      </c>
      <c r="X111" s="9" t="n">
        <f aca="false">W111/J111-1</f>
        <v>0.00199361644113427</v>
      </c>
      <c r="Y111" s="6" t="n">
        <f aca="false">INDEX(DRIVERS!$B$32:$B$42,MATCH(B111,DRIVERS!$A$32:$A$42,0))</f>
        <v>0.15</v>
      </c>
      <c r="Z111" s="5" t="n">
        <f aca="false">W111*(1+Y111)</f>
        <v>53005.462309736</v>
      </c>
      <c r="AA111" s="5" t="n">
        <f aca="false">W111*(1+Y111+DRIVERS!$B$26)*(1+DRIVERS!$B$27)</f>
        <v>61947.2533428567</v>
      </c>
      <c r="AB111" s="2" t="s">
        <v>272</v>
      </c>
      <c r="AC111" s="8"/>
      <c r="AD111" s="2" t="s">
        <v>552</v>
      </c>
    </row>
    <row r="112" customFormat="false" ht="15" hidden="false" customHeight="false" outlineLevel="0" collapsed="false">
      <c r="A112" s="2" t="s">
        <v>57</v>
      </c>
      <c r="B112" s="2" t="s">
        <v>515</v>
      </c>
      <c r="C112" s="2" t="s">
        <v>91</v>
      </c>
      <c r="D112" s="2" t="s">
        <v>553</v>
      </c>
      <c r="E112" s="2" t="s">
        <v>554</v>
      </c>
      <c r="F112" s="2" t="s">
        <v>186</v>
      </c>
      <c r="G112" s="2" t="s">
        <v>186</v>
      </c>
      <c r="H112" s="5" t="n">
        <v>87000</v>
      </c>
      <c r="I112" s="6" t="n">
        <f aca="false">INDEX(SUPPLIERS!$D$3:$D$30,MATCH(C112,SUPPLIERS!$A$3:$A$30,0))</f>
        <v>0</v>
      </c>
      <c r="J112" s="5" t="n">
        <f aca="false">H112*(1-I112)</f>
        <v>87000</v>
      </c>
      <c r="K112" s="2" t="n">
        <v>11.7</v>
      </c>
      <c r="L112" s="2" t="s">
        <v>518</v>
      </c>
      <c r="M112" s="5" t="n">
        <f aca="false">IF(K112="","",J112/K112)</f>
        <v>7435.89743589744</v>
      </c>
      <c r="N112" s="2" t="n">
        <v>111</v>
      </c>
      <c r="O112" s="13" t="n">
        <v>0.18674</v>
      </c>
      <c r="P112" s="2" t="s">
        <v>535</v>
      </c>
      <c r="Q112" s="14" t="n">
        <f aca="false">MAX(N112/DRIVERS!$B$5,O112/DRIVERS!$B$6)</f>
        <v>0.037</v>
      </c>
      <c r="R112" s="15" t="n">
        <f aca="false">ROUNDDOWN(1/Q112,0)</f>
        <v>27</v>
      </c>
      <c r="S112" s="5" t="n">
        <f aca="false">DRIVERS!$B$23*Q112/DRIVERS!$B$24</f>
        <v>192.06425563079</v>
      </c>
      <c r="T112" s="5" t="n">
        <f aca="false">J112*INDEX(DRIVERS!$C$32:$C$42,MATCH(B112,DRIVERS!$A$32:$A$42,0))</f>
        <v>0</v>
      </c>
      <c r="U112" s="5" t="n">
        <f aca="false">J112*INDEX(SUPPLIERS!$E$3:$E$30,MATCH(C112,SUPPLIERS!$A$3:$A$30,0))</f>
        <v>0</v>
      </c>
      <c r="V112" s="5" t="n">
        <v>0</v>
      </c>
      <c r="W112" s="5" t="n">
        <f aca="false">J112+S112+T112+U112+V112</f>
        <v>87192.0642556308</v>
      </c>
      <c r="X112" s="9" t="n">
        <f aca="false">W112/J112-1</f>
        <v>0.00220763512219291</v>
      </c>
      <c r="Y112" s="6" t="n">
        <f aca="false">INDEX(DRIVERS!$B$32:$B$42,MATCH(B112,DRIVERS!$A$32:$A$42,0))</f>
        <v>0.15</v>
      </c>
      <c r="Z112" s="5" t="n">
        <f aca="false">W112*(1+Y112)</f>
        <v>100270.873893975</v>
      </c>
      <c r="AA112" s="5" t="n">
        <f aca="false">W112*(1+Y112+DRIVERS!$B$26)*(1+DRIVERS!$B$27)</f>
        <v>117186.134359568</v>
      </c>
      <c r="AB112" s="2" t="s">
        <v>272</v>
      </c>
      <c r="AC112" s="8"/>
      <c r="AD112" s="2" t="s">
        <v>555</v>
      </c>
    </row>
    <row r="113" customFormat="false" ht="15" hidden="false" customHeight="false" outlineLevel="0" collapsed="false">
      <c r="A113" s="2" t="s">
        <v>556</v>
      </c>
      <c r="B113" s="2" t="s">
        <v>515</v>
      </c>
      <c r="C113" s="2" t="s">
        <v>91</v>
      </c>
      <c r="D113" s="2" t="s">
        <v>557</v>
      </c>
      <c r="E113" s="2" t="s">
        <v>558</v>
      </c>
      <c r="F113" s="2" t="s">
        <v>186</v>
      </c>
      <c r="G113" s="2" t="s">
        <v>186</v>
      </c>
      <c r="H113" s="5" t="n">
        <v>108000</v>
      </c>
      <c r="I113" s="6" t="n">
        <f aca="false">INDEX(SUPPLIERS!$D$3:$D$30,MATCH(C113,SUPPLIERS!$A$3:$A$30,0))</f>
        <v>0</v>
      </c>
      <c r="J113" s="5" t="n">
        <f aca="false">H113*(1-I113)</f>
        <v>108000</v>
      </c>
      <c r="K113" s="2" t="n">
        <v>16</v>
      </c>
      <c r="L113" s="2" t="s">
        <v>518</v>
      </c>
      <c r="M113" s="5" t="n">
        <f aca="false">IF(K113="","",J113/K113)</f>
        <v>6750</v>
      </c>
      <c r="N113" s="2" t="n">
        <v>143</v>
      </c>
      <c r="O113" s="13" t="n">
        <v>0.22259</v>
      </c>
      <c r="P113" s="2" t="s">
        <v>535</v>
      </c>
      <c r="Q113" s="14" t="n">
        <f aca="false">MAX(N113/DRIVERS!$B$5,O113/DRIVERS!$B$6)</f>
        <v>0.0476666666666667</v>
      </c>
      <c r="R113" s="15" t="n">
        <f aca="false">ROUNDDOWN(1/Q113,0)</f>
        <v>20</v>
      </c>
      <c r="S113" s="5" t="n">
        <f aca="false">DRIVERS!$B$23*Q113/DRIVERS!$B$24</f>
        <v>247.434131127954</v>
      </c>
      <c r="T113" s="5" t="n">
        <f aca="false">J113*INDEX(DRIVERS!$C$32:$C$42,MATCH(B113,DRIVERS!$A$32:$A$42,0))</f>
        <v>0</v>
      </c>
      <c r="U113" s="5" t="n">
        <f aca="false">J113*INDEX(SUPPLIERS!$E$3:$E$30,MATCH(C113,SUPPLIERS!$A$3:$A$30,0))</f>
        <v>0</v>
      </c>
      <c r="V113" s="5" t="n">
        <v>0</v>
      </c>
      <c r="W113" s="5" t="n">
        <f aca="false">J113+S113+T113+U113+V113</f>
        <v>108247.434131128</v>
      </c>
      <c r="X113" s="9" t="n">
        <f aca="false">W113/J113-1</f>
        <v>0.0022910567697032</v>
      </c>
      <c r="Y113" s="6" t="n">
        <f aca="false">INDEX(DRIVERS!$B$32:$B$42,MATCH(B113,DRIVERS!$A$32:$A$42,0))</f>
        <v>0.15</v>
      </c>
      <c r="Z113" s="5" t="n">
        <f aca="false">W113*(1+Y113)</f>
        <v>124484.549250797</v>
      </c>
      <c r="AA113" s="5" t="n">
        <f aca="false">W113*(1+Y113+DRIVERS!$B$26)*(1+DRIVERS!$B$27)</f>
        <v>145484.551472236</v>
      </c>
      <c r="AB113" s="2" t="s">
        <v>272</v>
      </c>
      <c r="AC113" s="8"/>
      <c r="AD113" s="2" t="s">
        <v>559</v>
      </c>
    </row>
    <row r="114" customFormat="false" ht="15" hidden="false" customHeight="false" outlineLevel="0" collapsed="false">
      <c r="A114" s="2" t="s">
        <v>560</v>
      </c>
      <c r="B114" s="2" t="s">
        <v>515</v>
      </c>
      <c r="C114" s="2" t="s">
        <v>91</v>
      </c>
      <c r="D114" s="2" t="s">
        <v>561</v>
      </c>
      <c r="E114" s="2" t="s">
        <v>562</v>
      </c>
      <c r="F114" s="2" t="s">
        <v>186</v>
      </c>
      <c r="G114" s="2" t="s">
        <v>186</v>
      </c>
      <c r="H114" s="5" t="n">
        <v>40000</v>
      </c>
      <c r="I114" s="6" t="n">
        <f aca="false">INDEX(SUPPLIERS!$D$3:$D$30,MATCH(C114,SUPPLIERS!$A$3:$A$30,0))</f>
        <v>0</v>
      </c>
      <c r="J114" s="5" t="n">
        <f aca="false">H114*(1-I114)</f>
        <v>40000</v>
      </c>
      <c r="K114" s="2" t="n">
        <v>5.12</v>
      </c>
      <c r="L114" s="2" t="s">
        <v>518</v>
      </c>
      <c r="M114" s="5" t="n">
        <f aca="false">IF(K114="","",J114/K114)</f>
        <v>7812.5</v>
      </c>
      <c r="N114" s="2" t="n">
        <v>24.7</v>
      </c>
      <c r="O114" s="13" t="n">
        <v>0.10386</v>
      </c>
      <c r="P114" s="2" t="s">
        <v>535</v>
      </c>
      <c r="Q114" s="14" t="n">
        <f aca="false">MAX(N114/DRIVERS!$B$5,O114/DRIVERS!$B$6)</f>
        <v>0.00823333333333333</v>
      </c>
      <c r="R114" s="15" t="n">
        <f aca="false">ROUNDDOWN(1/Q114,0)</f>
        <v>121</v>
      </c>
      <c r="S114" s="5" t="n">
        <f aca="false">DRIVERS!$B$23*Q114/DRIVERS!$B$24</f>
        <v>42.7386226493739</v>
      </c>
      <c r="T114" s="5" t="n">
        <f aca="false">J114*INDEX(DRIVERS!$C$32:$C$42,MATCH(B114,DRIVERS!$A$32:$A$42,0))</f>
        <v>0</v>
      </c>
      <c r="U114" s="5" t="n">
        <f aca="false">J114*INDEX(SUPPLIERS!$E$3:$E$30,MATCH(C114,SUPPLIERS!$A$3:$A$30,0))</f>
        <v>0</v>
      </c>
      <c r="V114" s="5" t="n">
        <v>0</v>
      </c>
      <c r="W114" s="5" t="n">
        <f aca="false">J114+S114+T114+U114+V114</f>
        <v>40042.7386226494</v>
      </c>
      <c r="X114" s="9" t="n">
        <f aca="false">W114/J114-1</f>
        <v>0.0010684655662343</v>
      </c>
      <c r="Y114" s="6" t="n">
        <f aca="false">INDEX(DRIVERS!$B$32:$B$42,MATCH(B114,DRIVERS!$A$32:$A$42,0))</f>
        <v>0.15</v>
      </c>
      <c r="Z114" s="5" t="n">
        <f aca="false">W114*(1+Y114)</f>
        <v>46049.1494160468</v>
      </c>
      <c r="AA114" s="5" t="n">
        <f aca="false">W114*(1+Y114+DRIVERS!$B$26)*(1+DRIVERS!$B$27)</f>
        <v>53817.4407088408</v>
      </c>
      <c r="AB114" s="2" t="s">
        <v>272</v>
      </c>
      <c r="AC114" s="8"/>
      <c r="AD114" s="2" t="s">
        <v>563</v>
      </c>
    </row>
    <row r="115" customFormat="false" ht="15" hidden="false" customHeight="false" outlineLevel="0" collapsed="false">
      <c r="A115" s="2" t="s">
        <v>564</v>
      </c>
      <c r="B115" s="2" t="s">
        <v>515</v>
      </c>
      <c r="C115" s="2" t="s">
        <v>91</v>
      </c>
      <c r="D115" s="2" t="s">
        <v>565</v>
      </c>
      <c r="E115" s="2" t="s">
        <v>566</v>
      </c>
      <c r="F115" s="2" t="s">
        <v>186</v>
      </c>
      <c r="G115" s="2" t="s">
        <v>186</v>
      </c>
      <c r="H115" s="5" t="n">
        <v>42000</v>
      </c>
      <c r="I115" s="6" t="n">
        <f aca="false">INDEX(SUPPLIERS!$D$3:$D$30,MATCH(C115,SUPPLIERS!$A$3:$A$30,0))</f>
        <v>0</v>
      </c>
      <c r="J115" s="5" t="n">
        <f aca="false">H115*(1-I115)</f>
        <v>42000</v>
      </c>
      <c r="K115" s="2" t="n">
        <v>5.12</v>
      </c>
      <c r="L115" s="2" t="s">
        <v>518</v>
      </c>
      <c r="M115" s="5" t="n">
        <f aca="false">IF(K115="","",J115/K115)</f>
        <v>8203.125</v>
      </c>
      <c r="N115" s="2" t="n">
        <v>46</v>
      </c>
      <c r="O115" s="13" t="n">
        <v>0.09652</v>
      </c>
      <c r="P115" s="2" t="s">
        <v>535</v>
      </c>
      <c r="Q115" s="14" t="n">
        <f aca="false">MAX(N115/DRIVERS!$B$5,O115/DRIVERS!$B$6)</f>
        <v>0.0153333333333333</v>
      </c>
      <c r="R115" s="15" t="n">
        <f aca="false">ROUNDDOWN(1/Q115,0)</f>
        <v>65</v>
      </c>
      <c r="S115" s="5" t="n">
        <f aca="false">DRIVERS!$B$23*Q115/DRIVERS!$B$24</f>
        <v>79.5941960271741</v>
      </c>
      <c r="T115" s="5" t="n">
        <f aca="false">J115*INDEX(DRIVERS!$C$32:$C$42,MATCH(B115,DRIVERS!$A$32:$A$42,0))</f>
        <v>0</v>
      </c>
      <c r="U115" s="5" t="n">
        <f aca="false">J115*INDEX(SUPPLIERS!$E$3:$E$30,MATCH(C115,SUPPLIERS!$A$3:$A$30,0))</f>
        <v>0</v>
      </c>
      <c r="V115" s="5" t="n">
        <v>0</v>
      </c>
      <c r="W115" s="5" t="n">
        <f aca="false">J115+S115+T115+U115+V115</f>
        <v>42079.5941960272</v>
      </c>
      <c r="X115" s="9" t="n">
        <f aca="false">W115/J115-1</f>
        <v>0.00189509990540881</v>
      </c>
      <c r="Y115" s="6" t="n">
        <f aca="false">INDEX(DRIVERS!$B$32:$B$42,MATCH(B115,DRIVERS!$A$32:$A$42,0))</f>
        <v>0.15</v>
      </c>
      <c r="Z115" s="5" t="n">
        <f aca="false">W115*(1+Y115)</f>
        <v>48391.5333254312</v>
      </c>
      <c r="AA115" s="5" t="n">
        <f aca="false">W115*(1+Y115+DRIVERS!$B$26)*(1+DRIVERS!$B$27)</f>
        <v>56554.9745994605</v>
      </c>
      <c r="AB115" s="2" t="s">
        <v>272</v>
      </c>
      <c r="AC115" s="8"/>
      <c r="AD115" s="2" t="s">
        <v>567</v>
      </c>
    </row>
    <row r="116" customFormat="false" ht="15" hidden="false" customHeight="false" outlineLevel="0" collapsed="false">
      <c r="A116" s="2" t="s">
        <v>568</v>
      </c>
      <c r="B116" s="2" t="s">
        <v>515</v>
      </c>
      <c r="C116" s="2" t="s">
        <v>91</v>
      </c>
      <c r="D116" s="2" t="s">
        <v>569</v>
      </c>
      <c r="E116" s="2" t="s">
        <v>570</v>
      </c>
      <c r="F116" s="2" t="s">
        <v>186</v>
      </c>
      <c r="G116" s="2" t="s">
        <v>186</v>
      </c>
      <c r="H116" s="5" t="n">
        <v>16000</v>
      </c>
      <c r="I116" s="6" t="n">
        <f aca="false">INDEX(SUPPLIERS!$D$3:$D$30,MATCH(C116,SUPPLIERS!$A$3:$A$30,0))</f>
        <v>0</v>
      </c>
      <c r="J116" s="5" t="n">
        <f aca="false">H116*(1-I116)</f>
        <v>16000</v>
      </c>
      <c r="M116" s="5" t="str">
        <f aca="false">IF(K116="","",J116/K116)</f>
        <v/>
      </c>
      <c r="N116" s="2" t="n">
        <v>57</v>
      </c>
      <c r="O116" s="13" t="n">
        <v>0.19647</v>
      </c>
      <c r="P116" s="2" t="s">
        <v>535</v>
      </c>
      <c r="Q116" s="14" t="n">
        <f aca="false">MAX(N116/DRIVERS!$B$5,O116/DRIVERS!$B$6)</f>
        <v>0.019</v>
      </c>
      <c r="R116" s="15" t="n">
        <f aca="false">ROUNDDOWN(1/Q116,0)</f>
        <v>52</v>
      </c>
      <c r="S116" s="5" t="n">
        <f aca="false">DRIVERS!$B$23*Q116/DRIVERS!$B$24</f>
        <v>98.6275907293244</v>
      </c>
      <c r="T116" s="5" t="n">
        <f aca="false">J116*INDEX(DRIVERS!$C$32:$C$42,MATCH(B116,DRIVERS!$A$32:$A$42,0))</f>
        <v>0</v>
      </c>
      <c r="U116" s="5" t="n">
        <f aca="false">J116*INDEX(SUPPLIERS!$E$3:$E$30,MATCH(C116,SUPPLIERS!$A$3:$A$30,0))</f>
        <v>0</v>
      </c>
      <c r="V116" s="5" t="n">
        <v>0</v>
      </c>
      <c r="W116" s="5" t="n">
        <f aca="false">J116+S116+T116+U116+V116</f>
        <v>16098.6275907293</v>
      </c>
      <c r="X116" s="9" t="n">
        <f aca="false">W116/J116-1</f>
        <v>0.00616422442058284</v>
      </c>
      <c r="Y116" s="6" t="n">
        <f aca="false">INDEX(DRIVERS!$B$32:$B$42,MATCH(B116,DRIVERS!$A$32:$A$42,0))</f>
        <v>0.15</v>
      </c>
      <c r="Z116" s="5" t="n">
        <f aca="false">W116*(1+Y116)</f>
        <v>18513.4217293387</v>
      </c>
      <c r="AA116" s="5" t="n">
        <f aca="false">W116*(1+Y116+DRIVERS!$B$26)*(1+DRIVERS!$B$27)</f>
        <v>21636.5554819402</v>
      </c>
      <c r="AB116" s="2" t="s">
        <v>272</v>
      </c>
      <c r="AC116" s="8"/>
      <c r="AD116" s="2" t="s">
        <v>571</v>
      </c>
    </row>
    <row r="117" customFormat="false" ht="15" hidden="false" customHeight="false" outlineLevel="0" collapsed="false">
      <c r="A117" s="2" t="s">
        <v>572</v>
      </c>
      <c r="B117" s="2" t="s">
        <v>515</v>
      </c>
      <c r="C117" s="2" t="s">
        <v>91</v>
      </c>
      <c r="D117" s="2" t="s">
        <v>573</v>
      </c>
      <c r="E117" s="2" t="s">
        <v>574</v>
      </c>
      <c r="F117" s="2" t="s">
        <v>186</v>
      </c>
      <c r="G117" s="2" t="s">
        <v>186</v>
      </c>
      <c r="H117" s="5" t="n">
        <v>13000</v>
      </c>
      <c r="I117" s="6" t="n">
        <f aca="false">INDEX(SUPPLIERS!$D$3:$D$30,MATCH(C117,SUPPLIERS!$A$3:$A$30,0))</f>
        <v>0</v>
      </c>
      <c r="J117" s="5" t="n">
        <f aca="false">H117*(1-I117)</f>
        <v>13000</v>
      </c>
      <c r="M117" s="5" t="str">
        <f aca="false">IF(K117="","",J117/K117)</f>
        <v/>
      </c>
      <c r="N117" s="2" t="n">
        <v>43.2</v>
      </c>
      <c r="O117" s="13" t="n">
        <v>0.14461</v>
      </c>
      <c r="P117" s="2" t="s">
        <v>535</v>
      </c>
      <c r="Q117" s="14" t="n">
        <f aca="false">MAX(N117/DRIVERS!$B$5,O117/DRIVERS!$B$6)</f>
        <v>0.0144</v>
      </c>
      <c r="R117" s="15" t="n">
        <f aca="false">ROUNDDOWN(1/Q117,0)</f>
        <v>69</v>
      </c>
      <c r="S117" s="5" t="n">
        <f aca="false">DRIVERS!$B$23*Q117/DRIVERS!$B$24</f>
        <v>74.7493319211722</v>
      </c>
      <c r="T117" s="5" t="n">
        <f aca="false">J117*INDEX(DRIVERS!$C$32:$C$42,MATCH(B117,DRIVERS!$A$32:$A$42,0))</f>
        <v>0</v>
      </c>
      <c r="U117" s="5" t="n">
        <f aca="false">J117*INDEX(SUPPLIERS!$E$3:$E$30,MATCH(C117,SUPPLIERS!$A$3:$A$30,0))</f>
        <v>0</v>
      </c>
      <c r="V117" s="5" t="n">
        <v>0</v>
      </c>
      <c r="W117" s="5" t="n">
        <f aca="false">J117+S117+T117+U117+V117</f>
        <v>13074.7493319212</v>
      </c>
      <c r="X117" s="9" t="n">
        <f aca="false">W117/J117-1</f>
        <v>0.00574994860932088</v>
      </c>
      <c r="Y117" s="6" t="n">
        <f aca="false">INDEX(DRIVERS!$B$32:$B$42,MATCH(B117,DRIVERS!$A$32:$A$42,0))</f>
        <v>0.15</v>
      </c>
      <c r="Z117" s="5" t="n">
        <f aca="false">W117*(1+Y117)</f>
        <v>15035.9617317093</v>
      </c>
      <c r="AA117" s="5" t="n">
        <f aca="false">W117*(1+Y117+DRIVERS!$B$26)*(1+DRIVERS!$B$27)</f>
        <v>17572.4631021021</v>
      </c>
      <c r="AB117" s="2" t="s">
        <v>272</v>
      </c>
      <c r="AC117" s="8"/>
      <c r="AD117" s="2" t="s">
        <v>575</v>
      </c>
    </row>
    <row r="118" customFormat="false" ht="15" hidden="false" customHeight="false" outlineLevel="0" collapsed="false">
      <c r="A118" s="2" t="s">
        <v>576</v>
      </c>
      <c r="B118" s="2" t="s">
        <v>515</v>
      </c>
      <c r="C118" s="2" t="s">
        <v>90</v>
      </c>
      <c r="D118" s="2" t="s">
        <v>577</v>
      </c>
      <c r="E118" s="2" t="s">
        <v>578</v>
      </c>
      <c r="F118" s="2" t="s">
        <v>186</v>
      </c>
      <c r="G118" s="2" t="s">
        <v>186</v>
      </c>
      <c r="H118" s="5" t="n">
        <v>21000</v>
      </c>
      <c r="I118" s="6" t="n">
        <f aca="false">INDEX(SUPPLIERS!$D$3:$D$30,MATCH(C118,SUPPLIERS!$A$3:$A$30,0))</f>
        <v>0</v>
      </c>
      <c r="J118" s="5" t="n">
        <f aca="false">H118*(1-I118)</f>
        <v>21000</v>
      </c>
      <c r="K118" s="2" t="n">
        <v>2.4</v>
      </c>
      <c r="L118" s="2" t="s">
        <v>518</v>
      </c>
      <c r="M118" s="5" t="n">
        <f aca="false">IF(K118="","",J118/K118)</f>
        <v>8750</v>
      </c>
      <c r="N118" s="2" t="n">
        <v>23</v>
      </c>
      <c r="O118" s="13" t="n">
        <v>0.03996</v>
      </c>
      <c r="P118" s="2" t="s">
        <v>310</v>
      </c>
      <c r="Q118" s="14" t="n">
        <f aca="false">MAX(N118/DRIVERS!$B$5,O118/DRIVERS!$B$6)</f>
        <v>0.00766666666666667</v>
      </c>
      <c r="R118" s="15" t="n">
        <f aca="false">ROUNDDOWN(1/Q118,0)</f>
        <v>130</v>
      </c>
      <c r="S118" s="5" t="n">
        <f aca="false">DRIVERS!$B$23*Q118/DRIVERS!$B$24</f>
        <v>39.797098013587</v>
      </c>
      <c r="T118" s="5" t="n">
        <f aca="false">J118*INDEX(DRIVERS!$C$32:$C$42,MATCH(B118,DRIVERS!$A$32:$A$42,0))</f>
        <v>0</v>
      </c>
      <c r="U118" s="5" t="n">
        <f aca="false">J118*INDEX(SUPPLIERS!$E$3:$E$30,MATCH(C118,SUPPLIERS!$A$3:$A$30,0))</f>
        <v>0</v>
      </c>
      <c r="V118" s="5" t="n">
        <v>0</v>
      </c>
      <c r="W118" s="5" t="n">
        <f aca="false">J118+S118+T118+U118+V118</f>
        <v>21039.7970980136</v>
      </c>
      <c r="X118" s="9" t="n">
        <f aca="false">W118/J118-1</f>
        <v>0.00189509990540881</v>
      </c>
      <c r="Y118" s="6" t="n">
        <f aca="false">INDEX(DRIVERS!$B$32:$B$42,MATCH(B118,DRIVERS!$A$32:$A$42,0))</f>
        <v>0.15</v>
      </c>
      <c r="Z118" s="5" t="n">
        <f aca="false">W118*(1+Y118)</f>
        <v>24195.7666627156</v>
      </c>
      <c r="AA118" s="5" t="n">
        <f aca="false">W118*(1+Y118+DRIVERS!$B$26)*(1+DRIVERS!$B$27)</f>
        <v>28277.4872997303</v>
      </c>
      <c r="AB118" s="2" t="s">
        <v>205</v>
      </c>
      <c r="AC118" s="8"/>
    </row>
    <row r="119" customFormat="false" ht="15" hidden="false" customHeight="false" outlineLevel="0" collapsed="false">
      <c r="A119" s="2" t="s">
        <v>579</v>
      </c>
      <c r="B119" s="2" t="s">
        <v>515</v>
      </c>
      <c r="C119" s="2" t="s">
        <v>90</v>
      </c>
      <c r="D119" s="2" t="s">
        <v>580</v>
      </c>
      <c r="E119" s="2" t="s">
        <v>581</v>
      </c>
      <c r="F119" s="2" t="s">
        <v>186</v>
      </c>
      <c r="G119" s="2" t="s">
        <v>186</v>
      </c>
      <c r="H119" s="5" t="n">
        <v>111000</v>
      </c>
      <c r="I119" s="6" t="n">
        <f aca="false">INDEX(SUPPLIERS!$D$3:$D$30,MATCH(C119,SUPPLIERS!$A$3:$A$30,0))</f>
        <v>0</v>
      </c>
      <c r="J119" s="5" t="n">
        <f aca="false">H119*(1-I119)</f>
        <v>111000</v>
      </c>
      <c r="K119" s="2" t="n">
        <v>16.076</v>
      </c>
      <c r="L119" s="2" t="s">
        <v>518</v>
      </c>
      <c r="M119" s="5" t="n">
        <f aca="false">IF(K119="","",J119/K119)</f>
        <v>6904.70266235382</v>
      </c>
      <c r="N119" s="2" t="n">
        <v>125</v>
      </c>
      <c r="O119" s="13" t="n">
        <v>0.17103</v>
      </c>
      <c r="P119" s="2" t="s">
        <v>310</v>
      </c>
      <c r="Q119" s="14" t="n">
        <f aca="false">MAX(N119/DRIVERS!$B$5,O119/DRIVERS!$B$6)</f>
        <v>0.0416666666666667</v>
      </c>
      <c r="R119" s="15" t="n">
        <f aca="false">ROUNDDOWN(1/Q119,0)</f>
        <v>24</v>
      </c>
      <c r="S119" s="5" t="n">
        <f aca="false">DRIVERS!$B$23*Q119/DRIVERS!$B$24</f>
        <v>216.288576160799</v>
      </c>
      <c r="T119" s="5" t="n">
        <f aca="false">J119*INDEX(DRIVERS!$C$32:$C$42,MATCH(B119,DRIVERS!$A$32:$A$42,0))</f>
        <v>0</v>
      </c>
      <c r="U119" s="5" t="n">
        <f aca="false">J119*INDEX(SUPPLIERS!$E$3:$E$30,MATCH(C119,SUPPLIERS!$A$3:$A$30,0))</f>
        <v>0</v>
      </c>
      <c r="V119" s="5" t="n">
        <v>0</v>
      </c>
      <c r="W119" s="5" t="n">
        <f aca="false">J119+S119+T119+U119+V119</f>
        <v>111216.288576161</v>
      </c>
      <c r="X119" s="9" t="n">
        <f aca="false">W119/J119-1</f>
        <v>0.00194854573117853</v>
      </c>
      <c r="Y119" s="6" t="n">
        <f aca="false">INDEX(DRIVERS!$B$32:$B$42,MATCH(B119,DRIVERS!$A$32:$A$42,0))</f>
        <v>0.15</v>
      </c>
      <c r="Z119" s="5" t="n">
        <f aca="false">W119*(1+Y119)</f>
        <v>127898.731862585</v>
      </c>
      <c r="AA119" s="5" t="n">
        <f aca="false">W119*(1+Y119+DRIVERS!$B$26)*(1+DRIVERS!$B$27)</f>
        <v>149474.69184636</v>
      </c>
      <c r="AB119" s="2" t="s">
        <v>205</v>
      </c>
      <c r="AC119" s="8"/>
    </row>
    <row r="120" customFormat="false" ht="15" hidden="false" customHeight="false" outlineLevel="0" collapsed="false">
      <c r="A120" s="2" t="s">
        <v>582</v>
      </c>
      <c r="B120" s="2" t="s">
        <v>515</v>
      </c>
      <c r="C120" s="2" t="s">
        <v>90</v>
      </c>
      <c r="D120" s="2" t="s">
        <v>583</v>
      </c>
      <c r="E120" s="2" t="s">
        <v>581</v>
      </c>
      <c r="F120" s="2" t="s">
        <v>186</v>
      </c>
      <c r="G120" s="2" t="s">
        <v>186</v>
      </c>
      <c r="H120" s="5" t="n">
        <v>111000</v>
      </c>
      <c r="I120" s="6" t="n">
        <f aca="false">INDEX(SUPPLIERS!$D$3:$D$30,MATCH(C120,SUPPLIERS!$A$3:$A$30,0))</f>
        <v>0</v>
      </c>
      <c r="J120" s="5" t="n">
        <f aca="false">H120*(1-I120)</f>
        <v>111000</v>
      </c>
      <c r="K120" s="2" t="n">
        <v>16.076</v>
      </c>
      <c r="L120" s="2" t="s">
        <v>518</v>
      </c>
      <c r="M120" s="5" t="n">
        <f aca="false">IF(K120="","",J120/K120)</f>
        <v>6904.70266235382</v>
      </c>
      <c r="N120" s="2" t="n">
        <v>135</v>
      </c>
      <c r="O120" s="13" t="n">
        <v>0.20212</v>
      </c>
      <c r="P120" s="2" t="s">
        <v>310</v>
      </c>
      <c r="Q120" s="14" t="n">
        <f aca="false">MAX(N120/DRIVERS!$B$5,O120/DRIVERS!$B$6)</f>
        <v>0.045</v>
      </c>
      <c r="R120" s="15" t="n">
        <f aca="false">ROUNDDOWN(1/Q120,0)</f>
        <v>22</v>
      </c>
      <c r="S120" s="5" t="n">
        <f aca="false">DRIVERS!$B$23*Q120/DRIVERS!$B$24</f>
        <v>233.591662253663</v>
      </c>
      <c r="T120" s="5" t="n">
        <f aca="false">J120*INDEX(DRIVERS!$C$32:$C$42,MATCH(B120,DRIVERS!$A$32:$A$42,0))</f>
        <v>0</v>
      </c>
      <c r="U120" s="5" t="n">
        <f aca="false">J120*INDEX(SUPPLIERS!$E$3:$E$30,MATCH(C120,SUPPLIERS!$A$3:$A$30,0))</f>
        <v>0</v>
      </c>
      <c r="V120" s="5" t="n">
        <v>0</v>
      </c>
      <c r="W120" s="5" t="n">
        <f aca="false">J120+S120+T120+U120+V120</f>
        <v>111233.591662254</v>
      </c>
      <c r="X120" s="9" t="n">
        <f aca="false">W120/J120-1</f>
        <v>0.00210442938967259</v>
      </c>
      <c r="Y120" s="6" t="n">
        <f aca="false">INDEX(DRIVERS!$B$32:$B$42,MATCH(B120,DRIVERS!$A$32:$A$42,0))</f>
        <v>0.15</v>
      </c>
      <c r="Z120" s="5" t="n">
        <f aca="false">W120*(1+Y120)</f>
        <v>127918.630411592</v>
      </c>
      <c r="AA120" s="5" t="n">
        <f aca="false">W120*(1+Y120+DRIVERS!$B$26)*(1+DRIVERS!$B$27)</f>
        <v>149497.947194069</v>
      </c>
      <c r="AB120" s="2" t="s">
        <v>205</v>
      </c>
      <c r="AC120" s="8"/>
    </row>
    <row r="121" customFormat="false" ht="15" hidden="false" customHeight="false" outlineLevel="0" collapsed="false">
      <c r="A121" s="2" t="s">
        <v>584</v>
      </c>
      <c r="B121" s="2" t="s">
        <v>515</v>
      </c>
      <c r="C121" s="2" t="s">
        <v>90</v>
      </c>
      <c r="D121" s="2" t="s">
        <v>585</v>
      </c>
      <c r="E121" s="2" t="s">
        <v>586</v>
      </c>
      <c r="F121" s="2" t="s">
        <v>186</v>
      </c>
      <c r="G121" s="2" t="s">
        <v>186</v>
      </c>
      <c r="H121" s="5" t="n">
        <v>113000</v>
      </c>
      <c r="I121" s="6" t="n">
        <f aca="false">INDEX(SUPPLIERS!$D$3:$D$30,MATCH(C121,SUPPLIERS!$A$3:$A$30,0))</f>
        <v>0</v>
      </c>
      <c r="J121" s="5" t="n">
        <f aca="false">H121*(1-I121)</f>
        <v>113000</v>
      </c>
      <c r="K121" s="2" t="n">
        <v>16</v>
      </c>
      <c r="L121" s="2" t="s">
        <v>518</v>
      </c>
      <c r="M121" s="5" t="n">
        <f aca="false">IF(K121="","",J121/K121)</f>
        <v>7062.5</v>
      </c>
      <c r="N121" s="2" t="n">
        <v>145</v>
      </c>
      <c r="O121" s="13" t="n">
        <v>0.21945</v>
      </c>
      <c r="P121" s="2" t="s">
        <v>310</v>
      </c>
      <c r="Q121" s="14" t="n">
        <f aca="false">MAX(N121/DRIVERS!$B$5,O121/DRIVERS!$B$6)</f>
        <v>0.0483333333333333</v>
      </c>
      <c r="R121" s="15" t="n">
        <f aca="false">ROUNDDOWN(1/Q121,0)</f>
        <v>20</v>
      </c>
      <c r="S121" s="5" t="n">
        <f aca="false">DRIVERS!$B$23*Q121/DRIVERS!$B$24</f>
        <v>250.894748346527</v>
      </c>
      <c r="T121" s="5" t="n">
        <f aca="false">J121*INDEX(DRIVERS!$C$32:$C$42,MATCH(B121,DRIVERS!$A$32:$A$42,0))</f>
        <v>0</v>
      </c>
      <c r="U121" s="5" t="n">
        <f aca="false">J121*INDEX(SUPPLIERS!$E$3:$E$30,MATCH(C121,SUPPLIERS!$A$3:$A$30,0))</f>
        <v>0</v>
      </c>
      <c r="V121" s="5" t="n">
        <v>0</v>
      </c>
      <c r="W121" s="5" t="n">
        <f aca="false">J121+S121+T121+U121+V121</f>
        <v>113250.894748347</v>
      </c>
      <c r="X121" s="9" t="n">
        <f aca="false">W121/J121-1</f>
        <v>0.00222030750749136</v>
      </c>
      <c r="Y121" s="6" t="n">
        <f aca="false">INDEX(DRIVERS!$B$32:$B$42,MATCH(B121,DRIVERS!$A$32:$A$42,0))</f>
        <v>0.15</v>
      </c>
      <c r="Z121" s="5" t="n">
        <f aca="false">W121*(1+Y121)</f>
        <v>130238.528960599</v>
      </c>
      <c r="AA121" s="5" t="n">
        <f aca="false">W121*(1+Y121+DRIVERS!$B$26)*(1+DRIVERS!$B$27)</f>
        <v>152209.202541778</v>
      </c>
      <c r="AB121" s="2" t="s">
        <v>205</v>
      </c>
      <c r="AC121" s="8"/>
    </row>
    <row r="122" customFormat="false" ht="15" hidden="false" customHeight="false" outlineLevel="0" collapsed="false">
      <c r="A122" s="2" t="s">
        <v>587</v>
      </c>
      <c r="B122" s="2" t="s">
        <v>515</v>
      </c>
      <c r="C122" s="2" t="s">
        <v>90</v>
      </c>
      <c r="D122" s="2" t="s">
        <v>588</v>
      </c>
      <c r="E122" s="2" t="s">
        <v>589</v>
      </c>
      <c r="F122" s="2" t="s">
        <v>186</v>
      </c>
      <c r="G122" s="2" t="s">
        <v>186</v>
      </c>
      <c r="H122" s="5" t="n">
        <v>115000</v>
      </c>
      <c r="I122" s="6" t="n">
        <f aca="false">INDEX(SUPPLIERS!$D$3:$D$30,MATCH(C122,SUPPLIERS!$A$3:$A$30,0))</f>
        <v>0</v>
      </c>
      <c r="J122" s="5" t="n">
        <f aca="false">H122*(1-I122)</f>
        <v>115000</v>
      </c>
      <c r="K122" s="2" t="n">
        <v>16.076</v>
      </c>
      <c r="L122" s="2" t="s">
        <v>518</v>
      </c>
      <c r="M122" s="5" t="n">
        <f aca="false">IF(K122="","",J122/K122)</f>
        <v>7153.52077631252</v>
      </c>
      <c r="N122" s="2" t="n">
        <v>132</v>
      </c>
      <c r="O122" s="13" t="n">
        <v>0.1749</v>
      </c>
      <c r="P122" s="2" t="s">
        <v>310</v>
      </c>
      <c r="Q122" s="14" t="n">
        <f aca="false">MAX(N122/DRIVERS!$B$5,O122/DRIVERS!$B$6)</f>
        <v>0.044</v>
      </c>
      <c r="R122" s="15" t="n">
        <f aca="false">ROUNDDOWN(1/Q122,0)</f>
        <v>22</v>
      </c>
      <c r="S122" s="5" t="n">
        <f aca="false">DRIVERS!$B$23*Q122/DRIVERS!$B$24</f>
        <v>228.400736425804</v>
      </c>
      <c r="T122" s="5" t="n">
        <f aca="false">J122*INDEX(DRIVERS!$C$32:$C$42,MATCH(B122,DRIVERS!$A$32:$A$42,0))</f>
        <v>0</v>
      </c>
      <c r="U122" s="5" t="n">
        <f aca="false">J122*INDEX(SUPPLIERS!$E$3:$E$30,MATCH(C122,SUPPLIERS!$A$3:$A$30,0))</f>
        <v>0</v>
      </c>
      <c r="V122" s="5" t="n">
        <v>0</v>
      </c>
      <c r="W122" s="5" t="n">
        <f aca="false">J122+S122+T122+U122+V122</f>
        <v>115228.400736426</v>
      </c>
      <c r="X122" s="9" t="n">
        <f aca="false">W122/J122-1</f>
        <v>0.00198609336022426</v>
      </c>
      <c r="Y122" s="6" t="n">
        <f aca="false">INDEX(DRIVERS!$B$32:$B$42,MATCH(B122,DRIVERS!$A$32:$A$42,0))</f>
        <v>0.15</v>
      </c>
      <c r="Z122" s="5" t="n">
        <f aca="false">W122*(1+Y122)</f>
        <v>132512.66084689</v>
      </c>
      <c r="AA122" s="5" t="n">
        <f aca="false">W122*(1+Y122+DRIVERS!$B$26)*(1+DRIVERS!$B$27)</f>
        <v>154866.970589756</v>
      </c>
      <c r="AB122" s="2" t="s">
        <v>205</v>
      </c>
      <c r="AC122" s="8"/>
    </row>
    <row r="123" customFormat="false" ht="15" hidden="false" customHeight="false" outlineLevel="0" collapsed="false">
      <c r="A123" s="2" t="s">
        <v>590</v>
      </c>
      <c r="B123" s="2" t="s">
        <v>515</v>
      </c>
      <c r="C123" s="2" t="s">
        <v>90</v>
      </c>
      <c r="D123" s="2" t="s">
        <v>591</v>
      </c>
      <c r="E123" s="2" t="s">
        <v>592</v>
      </c>
      <c r="F123" s="2" t="s">
        <v>186</v>
      </c>
      <c r="G123" s="2" t="s">
        <v>186</v>
      </c>
      <c r="H123" s="5" t="n">
        <v>42000</v>
      </c>
      <c r="I123" s="6" t="n">
        <f aca="false">INDEX(SUPPLIERS!$D$3:$D$30,MATCH(C123,SUPPLIERS!$A$3:$A$30,0))</f>
        <v>0</v>
      </c>
      <c r="J123" s="5" t="n">
        <f aca="false">H123*(1-I123)</f>
        <v>42000</v>
      </c>
      <c r="K123" s="2" t="n">
        <v>5.12</v>
      </c>
      <c r="L123" s="2" t="s">
        <v>518</v>
      </c>
      <c r="M123" s="5" t="n">
        <f aca="false">IF(K123="","",J123/K123)</f>
        <v>8203.125</v>
      </c>
      <c r="N123" s="2" t="n">
        <v>50</v>
      </c>
      <c r="O123" s="13" t="n">
        <v>0.07029</v>
      </c>
      <c r="P123" s="2" t="s">
        <v>310</v>
      </c>
      <c r="Q123" s="14" t="n">
        <f aca="false">MAX(N123/DRIVERS!$B$5,O123/DRIVERS!$B$6)</f>
        <v>0.0166666666666667</v>
      </c>
      <c r="R123" s="15" t="n">
        <f aca="false">ROUNDDOWN(1/Q123,0)</f>
        <v>60</v>
      </c>
      <c r="S123" s="5" t="n">
        <f aca="false">DRIVERS!$B$23*Q123/DRIVERS!$B$24</f>
        <v>86.5154304643197</v>
      </c>
      <c r="T123" s="5" t="n">
        <f aca="false">J123*INDEX(DRIVERS!$C$32:$C$42,MATCH(B123,DRIVERS!$A$32:$A$42,0))</f>
        <v>0</v>
      </c>
      <c r="U123" s="5" t="n">
        <f aca="false">J123*INDEX(SUPPLIERS!$E$3:$E$30,MATCH(C123,SUPPLIERS!$A$3:$A$30,0))</f>
        <v>0</v>
      </c>
      <c r="V123" s="5" t="n">
        <v>0</v>
      </c>
      <c r="W123" s="5" t="n">
        <f aca="false">J123+S123+T123+U123+V123</f>
        <v>42086.5154304643</v>
      </c>
      <c r="X123" s="9" t="n">
        <f aca="false">W123/J123-1</f>
        <v>0.00205989120153149</v>
      </c>
      <c r="Y123" s="6" t="n">
        <f aca="false">INDEX(DRIVERS!$B$32:$B$42,MATCH(B123,DRIVERS!$A$32:$A$42,0))</f>
        <v>0.15</v>
      </c>
      <c r="Z123" s="5" t="n">
        <f aca="false">W123*(1+Y123)</f>
        <v>48399.492745034</v>
      </c>
      <c r="AA123" s="5" t="n">
        <f aca="false">W123*(1+Y123+DRIVERS!$B$26)*(1+DRIVERS!$B$27)</f>
        <v>56564.2767385441</v>
      </c>
      <c r="AB123" s="2" t="s">
        <v>205</v>
      </c>
      <c r="AC123" s="8"/>
    </row>
    <row r="124" customFormat="false" ht="15" hidden="false" customHeight="false" outlineLevel="0" collapsed="false">
      <c r="A124" s="2" t="s">
        <v>593</v>
      </c>
      <c r="B124" s="2" t="s">
        <v>515</v>
      </c>
      <c r="C124" s="2" t="s">
        <v>90</v>
      </c>
      <c r="D124" s="2" t="s">
        <v>594</v>
      </c>
      <c r="E124" s="2" t="s">
        <v>595</v>
      </c>
      <c r="F124" s="2" t="s">
        <v>186</v>
      </c>
      <c r="G124" s="2" t="s">
        <v>186</v>
      </c>
      <c r="H124" s="5" t="n">
        <v>134000</v>
      </c>
      <c r="I124" s="6" t="n">
        <f aca="false">INDEX(SUPPLIERS!$D$3:$D$30,MATCH(C124,SUPPLIERS!$A$3:$A$30,0))</f>
        <v>0</v>
      </c>
      <c r="J124" s="5" t="n">
        <f aca="false">H124*(1-I124)</f>
        <v>134000</v>
      </c>
      <c r="K124" s="2" t="n">
        <v>16</v>
      </c>
      <c r="L124" s="2" t="s">
        <v>518</v>
      </c>
      <c r="M124" s="5" t="n">
        <f aca="false">IF(K124="","",J124/K124)</f>
        <v>8375</v>
      </c>
      <c r="N124" s="2" t="n">
        <v>130</v>
      </c>
      <c r="O124" s="13" t="n">
        <v>0.15</v>
      </c>
      <c r="P124" s="2" t="s">
        <v>310</v>
      </c>
      <c r="Q124" s="14" t="n">
        <f aca="false">MAX(N124/DRIVERS!$B$5,O124/DRIVERS!$B$6)</f>
        <v>0.0433333333333333</v>
      </c>
      <c r="R124" s="15" t="n">
        <f aca="false">ROUNDDOWN(1/Q124,0)</f>
        <v>23</v>
      </c>
      <c r="S124" s="5" t="n">
        <f aca="false">DRIVERS!$B$23*Q124/DRIVERS!$B$24</f>
        <v>224.940119207231</v>
      </c>
      <c r="T124" s="5" t="n">
        <f aca="false">J124*INDEX(DRIVERS!$C$32:$C$42,MATCH(B124,DRIVERS!$A$32:$A$42,0))</f>
        <v>0</v>
      </c>
      <c r="U124" s="5" t="n">
        <f aca="false">J124*INDEX(SUPPLIERS!$E$3:$E$30,MATCH(C124,SUPPLIERS!$A$3:$A$30,0))</f>
        <v>0</v>
      </c>
      <c r="V124" s="5" t="n">
        <v>0</v>
      </c>
      <c r="W124" s="5" t="n">
        <f aca="false">J124+S124+T124+U124+V124</f>
        <v>134224.940119207</v>
      </c>
      <c r="X124" s="9" t="n">
        <f aca="false">W124/J124-1</f>
        <v>0.00167865760602415</v>
      </c>
      <c r="Y124" s="6" t="n">
        <f aca="false">INDEX(DRIVERS!$B$32:$B$42,MATCH(B124,DRIVERS!$A$32:$A$42,0))</f>
        <v>0.15</v>
      </c>
      <c r="Z124" s="5" t="n">
        <f aca="false">W124*(1+Y124)</f>
        <v>154358.681137088</v>
      </c>
      <c r="AA124" s="5" t="n">
        <f aca="false">W124*(1+Y124+DRIVERS!$B$26)*(1+DRIVERS!$B$27)</f>
        <v>180398.319520215</v>
      </c>
      <c r="AB124" s="2" t="s">
        <v>205</v>
      </c>
      <c r="AC124" s="8"/>
    </row>
    <row r="125" customFormat="false" ht="15" hidden="false" customHeight="false" outlineLevel="0" collapsed="false">
      <c r="A125" s="2" t="s">
        <v>596</v>
      </c>
      <c r="B125" s="2" t="s">
        <v>515</v>
      </c>
      <c r="C125" s="2" t="s">
        <v>90</v>
      </c>
      <c r="D125" s="2" t="s">
        <v>597</v>
      </c>
      <c r="E125" s="2" t="s">
        <v>598</v>
      </c>
      <c r="F125" s="2" t="s">
        <v>186</v>
      </c>
      <c r="G125" s="2" t="s">
        <v>186</v>
      </c>
      <c r="H125" s="5" t="n">
        <v>43000</v>
      </c>
      <c r="I125" s="6" t="n">
        <f aca="false">INDEX(SUPPLIERS!$D$3:$D$30,MATCH(C125,SUPPLIERS!$A$3:$A$30,0))</f>
        <v>0</v>
      </c>
      <c r="J125" s="5" t="n">
        <f aca="false">H125*(1-I125)</f>
        <v>43000</v>
      </c>
      <c r="K125" s="2" t="n">
        <v>5.12</v>
      </c>
      <c r="L125" s="2" t="s">
        <v>518</v>
      </c>
      <c r="M125" s="5" t="n">
        <f aca="false">IF(K125="","",J125/K125)</f>
        <v>8398.4375</v>
      </c>
      <c r="N125" s="2" t="n">
        <v>59</v>
      </c>
      <c r="O125" s="13" t="n">
        <v>0.09269</v>
      </c>
      <c r="P125" s="2" t="s">
        <v>310</v>
      </c>
      <c r="Q125" s="14" t="n">
        <f aca="false">MAX(N125/DRIVERS!$B$5,O125/DRIVERS!$B$6)</f>
        <v>0.0196666666666667</v>
      </c>
      <c r="R125" s="15" t="n">
        <f aca="false">ROUNDDOWN(1/Q125,0)</f>
        <v>50</v>
      </c>
      <c r="S125" s="5" t="n">
        <f aca="false">DRIVERS!$B$23*Q125/DRIVERS!$B$24</f>
        <v>102.088207947897</v>
      </c>
      <c r="T125" s="5" t="n">
        <f aca="false">J125*INDEX(DRIVERS!$C$32:$C$42,MATCH(B125,DRIVERS!$A$32:$A$42,0))</f>
        <v>0</v>
      </c>
      <c r="U125" s="5" t="n">
        <f aca="false">J125*INDEX(SUPPLIERS!$E$3:$E$30,MATCH(C125,SUPPLIERS!$A$3:$A$30,0))</f>
        <v>0</v>
      </c>
      <c r="V125" s="5" t="n">
        <v>0</v>
      </c>
      <c r="W125" s="5" t="n">
        <f aca="false">J125+S125+T125+U125+V125</f>
        <v>43102.0882079479</v>
      </c>
      <c r="X125" s="9" t="n">
        <f aca="false">W125/J125-1</f>
        <v>0.00237414437088135</v>
      </c>
      <c r="Y125" s="6" t="n">
        <f aca="false">INDEX(DRIVERS!$B$32:$B$42,MATCH(B125,DRIVERS!$A$32:$A$42,0))</f>
        <v>0.15</v>
      </c>
      <c r="Z125" s="5" t="n">
        <f aca="false">W125*(1+Y125)</f>
        <v>49567.4014391401</v>
      </c>
      <c r="AA125" s="5" t="n">
        <f aca="false">W125*(1+Y125+DRIVERS!$B$26)*(1+DRIVERS!$B$27)</f>
        <v>57929.206551482</v>
      </c>
      <c r="AB125" s="2" t="s">
        <v>205</v>
      </c>
      <c r="AC125" s="8"/>
    </row>
    <row r="126" customFormat="false" ht="15" hidden="false" customHeight="false" outlineLevel="0" collapsed="false">
      <c r="A126" s="2" t="s">
        <v>599</v>
      </c>
      <c r="B126" s="2" t="s">
        <v>515</v>
      </c>
      <c r="C126" s="2" t="s">
        <v>90</v>
      </c>
      <c r="D126" s="2" t="s">
        <v>600</v>
      </c>
      <c r="E126" s="2" t="s">
        <v>598</v>
      </c>
      <c r="F126" s="2" t="s">
        <v>186</v>
      </c>
      <c r="G126" s="2" t="s">
        <v>186</v>
      </c>
      <c r="H126" s="5" t="n">
        <v>43000</v>
      </c>
      <c r="I126" s="6" t="n">
        <f aca="false">INDEX(SUPPLIERS!$D$3:$D$30,MATCH(C126,SUPPLIERS!$A$3:$A$30,0))</f>
        <v>0</v>
      </c>
      <c r="J126" s="5" t="n">
        <f aca="false">H126*(1-I126)</f>
        <v>43000</v>
      </c>
      <c r="K126" s="2" t="n">
        <v>5.12</v>
      </c>
      <c r="L126" s="2" t="s">
        <v>518</v>
      </c>
      <c r="M126" s="5" t="n">
        <f aca="false">IF(K126="","",J126/K126)</f>
        <v>8398.4375</v>
      </c>
      <c r="N126" s="2" t="n">
        <v>45</v>
      </c>
      <c r="O126" s="13" t="n">
        <v>0.06553</v>
      </c>
      <c r="P126" s="2" t="s">
        <v>310</v>
      </c>
      <c r="Q126" s="14" t="n">
        <f aca="false">MAX(N126/DRIVERS!$B$5,O126/DRIVERS!$B$6)</f>
        <v>0.015</v>
      </c>
      <c r="R126" s="15" t="n">
        <f aca="false">ROUNDDOWN(1/Q126,0)</f>
        <v>66</v>
      </c>
      <c r="S126" s="5" t="n">
        <f aca="false">DRIVERS!$B$23*Q126/DRIVERS!$B$24</f>
        <v>77.8638874178877</v>
      </c>
      <c r="T126" s="5" t="n">
        <f aca="false">J126*INDEX(DRIVERS!$C$32:$C$42,MATCH(B126,DRIVERS!$A$32:$A$42,0))</f>
        <v>0</v>
      </c>
      <c r="U126" s="5" t="n">
        <f aca="false">J126*INDEX(SUPPLIERS!$E$3:$E$30,MATCH(C126,SUPPLIERS!$A$3:$A$30,0))</f>
        <v>0</v>
      </c>
      <c r="V126" s="5" t="n">
        <v>0</v>
      </c>
      <c r="W126" s="5" t="n">
        <f aca="false">J126+S126+T126+U126+V126</f>
        <v>43077.8638874179</v>
      </c>
      <c r="X126" s="9" t="n">
        <f aca="false">W126/J126-1</f>
        <v>0.00181078807948576</v>
      </c>
      <c r="Y126" s="6" t="n">
        <f aca="false">INDEX(DRIVERS!$B$32:$B$42,MATCH(B126,DRIVERS!$A$32:$A$42,0))</f>
        <v>0.15</v>
      </c>
      <c r="Z126" s="5" t="n">
        <f aca="false">W126*(1+Y126)</f>
        <v>49539.5434705306</v>
      </c>
      <c r="AA126" s="5" t="n">
        <f aca="false">W126*(1+Y126+DRIVERS!$B$26)*(1+DRIVERS!$B$27)</f>
        <v>57896.6490646896</v>
      </c>
      <c r="AB126" s="2" t="s">
        <v>205</v>
      </c>
      <c r="AC126" s="8"/>
    </row>
    <row r="127" customFormat="false" ht="15" hidden="false" customHeight="false" outlineLevel="0" collapsed="false">
      <c r="A127" s="2" t="s">
        <v>601</v>
      </c>
      <c r="B127" s="2" t="s">
        <v>515</v>
      </c>
      <c r="C127" s="2" t="s">
        <v>90</v>
      </c>
      <c r="D127" s="2" t="s">
        <v>602</v>
      </c>
      <c r="E127" s="2" t="s">
        <v>603</v>
      </c>
      <c r="F127" s="2" t="s">
        <v>186</v>
      </c>
      <c r="G127" s="2" t="s">
        <v>186</v>
      </c>
      <c r="H127" s="5" t="n">
        <v>90000</v>
      </c>
      <c r="I127" s="6" t="n">
        <f aca="false">INDEX(SUPPLIERS!$D$3:$D$30,MATCH(C127,SUPPLIERS!$A$3:$A$30,0))</f>
        <v>0</v>
      </c>
      <c r="J127" s="5" t="n">
        <f aca="false">H127*(1-I127)</f>
        <v>90000</v>
      </c>
      <c r="K127" s="2" t="n">
        <v>4.8</v>
      </c>
      <c r="L127" s="2" t="s">
        <v>518</v>
      </c>
      <c r="M127" s="5" t="n">
        <f aca="false">IF(K127="","",J127/K127)</f>
        <v>18750</v>
      </c>
      <c r="N127" s="2" t="n">
        <v>50</v>
      </c>
      <c r="O127" s="13" t="n">
        <v>0.078</v>
      </c>
      <c r="P127" s="2" t="s">
        <v>310</v>
      </c>
      <c r="Q127" s="14" t="n">
        <f aca="false">MAX(N127/DRIVERS!$B$5,O127/DRIVERS!$B$6)</f>
        <v>0.0166666666666667</v>
      </c>
      <c r="R127" s="15" t="n">
        <f aca="false">ROUNDDOWN(1/Q127,0)</f>
        <v>60</v>
      </c>
      <c r="S127" s="5" t="n">
        <f aca="false">DRIVERS!$B$23*Q127/DRIVERS!$B$24</f>
        <v>86.5154304643197</v>
      </c>
      <c r="T127" s="5" t="n">
        <f aca="false">J127*INDEX(DRIVERS!$C$32:$C$42,MATCH(B127,DRIVERS!$A$32:$A$42,0))</f>
        <v>0</v>
      </c>
      <c r="U127" s="5" t="n">
        <f aca="false">J127*INDEX(SUPPLIERS!$E$3:$E$30,MATCH(C127,SUPPLIERS!$A$3:$A$30,0))</f>
        <v>0</v>
      </c>
      <c r="V127" s="5" t="n">
        <v>0</v>
      </c>
      <c r="W127" s="5" t="n">
        <f aca="false">J127+S127+T127+U127+V127</f>
        <v>90086.5154304643</v>
      </c>
      <c r="X127" s="9" t="n">
        <f aca="false">W127/J127-1</f>
        <v>0.000961282560714594</v>
      </c>
      <c r="Y127" s="6" t="n">
        <f aca="false">INDEX(DRIVERS!$B$32:$B$42,MATCH(B127,DRIVERS!$A$32:$A$42,0))</f>
        <v>0.15</v>
      </c>
      <c r="Z127" s="5" t="n">
        <f aca="false">W127*(1+Y127)</f>
        <v>103599.492745034</v>
      </c>
      <c r="AA127" s="5" t="n">
        <f aca="false">W127*(1+Y127+DRIVERS!$B$26)*(1+DRIVERS!$B$27)</f>
        <v>121076.276738544</v>
      </c>
      <c r="AB127" s="2" t="s">
        <v>205</v>
      </c>
      <c r="AC127" s="8"/>
    </row>
    <row r="128" customFormat="false" ht="15" hidden="false" customHeight="false" outlineLevel="0" collapsed="false">
      <c r="A128" s="2" t="s">
        <v>604</v>
      </c>
      <c r="B128" s="2" t="s">
        <v>515</v>
      </c>
      <c r="C128" s="2" t="s">
        <v>90</v>
      </c>
      <c r="D128" s="2" t="s">
        <v>605</v>
      </c>
      <c r="E128" s="2" t="s">
        <v>606</v>
      </c>
      <c r="F128" s="2" t="s">
        <v>518</v>
      </c>
      <c r="G128" s="2" t="s">
        <v>518</v>
      </c>
      <c r="H128" s="5" t="n">
        <v>10000</v>
      </c>
      <c r="I128" s="6" t="n">
        <f aca="false">INDEX(SUPPLIERS!$D$3:$D$30,MATCH(C128,SUPPLIERS!$A$3:$A$30,0))</f>
        <v>0</v>
      </c>
      <c r="J128" s="5" t="n">
        <f aca="false">H128*(1-I128)</f>
        <v>10000</v>
      </c>
      <c r="K128" s="2" t="n">
        <v>1</v>
      </c>
      <c r="L128" s="2" t="s">
        <v>518</v>
      </c>
      <c r="M128" s="5" t="n">
        <f aca="false">IF(K128="","",J128/K128)</f>
        <v>10000</v>
      </c>
      <c r="N128" s="2" t="n">
        <v>10.9705</v>
      </c>
      <c r="O128" s="13" t="n">
        <v>0.015316</v>
      </c>
      <c r="P128" s="2" t="s">
        <v>607</v>
      </c>
      <c r="Q128" s="14" t="n">
        <f aca="false">MAX(N128/DRIVERS!$B$5,O128/DRIVERS!$B$6)</f>
        <v>0.00365683333333333</v>
      </c>
      <c r="R128" s="15" t="n">
        <f aca="false">ROUNDDOWN(1/Q128,0)</f>
        <v>273</v>
      </c>
      <c r="S128" s="5" t="n">
        <f aca="false">DRIVERS!$B$23*Q128/DRIVERS!$B$24</f>
        <v>18.9823505981764</v>
      </c>
      <c r="T128" s="5" t="n">
        <f aca="false">J128*INDEX(DRIVERS!$C$32:$C$42,MATCH(B128,DRIVERS!$A$32:$A$42,0))</f>
        <v>0</v>
      </c>
      <c r="U128" s="5" t="n">
        <f aca="false">J128*INDEX(SUPPLIERS!$E$3:$E$30,MATCH(C128,SUPPLIERS!$A$3:$A$30,0))</f>
        <v>0</v>
      </c>
      <c r="V128" s="5" t="n">
        <v>0</v>
      </c>
      <c r="W128" s="5" t="n">
        <f aca="false">J128+S128+T128+U128+V128</f>
        <v>10018.9823505982</v>
      </c>
      <c r="X128" s="9" t="n">
        <f aca="false">W128/J128-1</f>
        <v>0.00189823505981757</v>
      </c>
      <c r="Y128" s="6" t="n">
        <f aca="false">INDEX(DRIVERS!$B$32:$B$42,MATCH(B128,DRIVERS!$A$32:$A$42,0))</f>
        <v>0.15</v>
      </c>
      <c r="Z128" s="5" t="n">
        <f aca="false">W128*(1+Y128)</f>
        <v>11521.8297031879</v>
      </c>
      <c r="AA128" s="5" t="n">
        <f aca="false">W128*(1+Y128+DRIVERS!$B$26)*(1+DRIVERS!$B$27)</f>
        <v>13465.512279204</v>
      </c>
      <c r="AB128" s="2" t="s">
        <v>205</v>
      </c>
      <c r="AC128" s="8"/>
    </row>
    <row r="129" customFormat="false" ht="15" hidden="false" customHeight="false" outlineLevel="0" collapsed="false">
      <c r="A129" s="2" t="s">
        <v>608</v>
      </c>
      <c r="B129" s="2" t="s">
        <v>515</v>
      </c>
      <c r="C129" s="2" t="s">
        <v>92</v>
      </c>
      <c r="D129" s="2" t="s">
        <v>609</v>
      </c>
      <c r="E129" s="2" t="s">
        <v>610</v>
      </c>
      <c r="F129" s="2" t="s">
        <v>186</v>
      </c>
      <c r="G129" s="2" t="s">
        <v>186</v>
      </c>
      <c r="H129" s="5" t="n">
        <v>8500</v>
      </c>
      <c r="I129" s="6" t="n">
        <f aca="false">INDEX(SUPPLIERS!$D$3:$D$30,MATCH(C129,SUPPLIERS!$A$3:$A$30,0))</f>
        <v>0</v>
      </c>
      <c r="J129" s="5" t="n">
        <f aca="false">H129*(1-I129)</f>
        <v>8500</v>
      </c>
      <c r="K129" s="2" t="n">
        <v>1.44</v>
      </c>
      <c r="L129" s="2" t="s">
        <v>518</v>
      </c>
      <c r="M129" s="5" t="n">
        <f aca="false">IF(K129="","",J129/K129)</f>
        <v>5902.77777777778</v>
      </c>
      <c r="N129" s="2" t="n">
        <v>18</v>
      </c>
      <c r="O129" s="13" t="n">
        <v>0.07176</v>
      </c>
      <c r="P129" s="2" t="s">
        <v>310</v>
      </c>
      <c r="Q129" s="14" t="n">
        <f aca="false">MAX(N129/DRIVERS!$B$5,O129/DRIVERS!$B$6)</f>
        <v>0.006</v>
      </c>
      <c r="R129" s="15" t="n">
        <f aca="false">ROUNDDOWN(1/Q129,0)</f>
        <v>166</v>
      </c>
      <c r="S129" s="5" t="n">
        <f aca="false">DRIVERS!$B$23*Q129/DRIVERS!$B$24</f>
        <v>31.1455549671551</v>
      </c>
      <c r="T129" s="5" t="n">
        <f aca="false">J129*INDEX(DRIVERS!$C$32:$C$42,MATCH(B129,DRIVERS!$A$32:$A$42,0))</f>
        <v>0</v>
      </c>
      <c r="U129" s="5" t="n">
        <f aca="false">J129*INDEX(SUPPLIERS!$E$3:$E$30,MATCH(C129,SUPPLIERS!$A$3:$A$30,0))</f>
        <v>0</v>
      </c>
      <c r="V129" s="5" t="n">
        <v>0</v>
      </c>
      <c r="W129" s="5" t="n">
        <f aca="false">J129+S129+T129+U129+V129</f>
        <v>8531.14555496716</v>
      </c>
      <c r="X129" s="9" t="n">
        <f aca="false">W129/J129-1</f>
        <v>0.0036641829373123</v>
      </c>
      <c r="Y129" s="6" t="n">
        <f aca="false">INDEX(DRIVERS!$B$32:$B$42,MATCH(B129,DRIVERS!$A$32:$A$42,0))</f>
        <v>0.15</v>
      </c>
      <c r="Z129" s="5" t="n">
        <f aca="false">W129*(1+Y129)</f>
        <v>9810.81738821223</v>
      </c>
      <c r="AA129" s="5" t="n">
        <f aca="false">W129*(1+Y129+DRIVERS!$B$26)*(1+DRIVERS!$B$27)</f>
        <v>11465.8596258759</v>
      </c>
      <c r="AB129" s="2" t="s">
        <v>218</v>
      </c>
      <c r="AC129" s="8"/>
    </row>
    <row r="130" customFormat="false" ht="15" hidden="false" customHeight="false" outlineLevel="0" collapsed="false">
      <c r="A130" s="2" t="s">
        <v>611</v>
      </c>
      <c r="B130" s="2" t="s">
        <v>515</v>
      </c>
      <c r="C130" s="2" t="s">
        <v>92</v>
      </c>
      <c r="D130" s="2" t="s">
        <v>612</v>
      </c>
      <c r="E130" s="2" t="s">
        <v>613</v>
      </c>
      <c r="F130" s="2" t="s">
        <v>186</v>
      </c>
      <c r="G130" s="2" t="s">
        <v>186</v>
      </c>
      <c r="H130" s="5" t="n">
        <v>24000</v>
      </c>
      <c r="I130" s="6" t="n">
        <f aca="false">INDEX(SUPPLIERS!$D$3:$D$30,MATCH(C130,SUPPLIERS!$A$3:$A$30,0))</f>
        <v>0</v>
      </c>
      <c r="J130" s="5" t="n">
        <f aca="false">H130*(1-I130)</f>
        <v>24000</v>
      </c>
      <c r="K130" s="2" t="n">
        <v>3.84</v>
      </c>
      <c r="L130" s="2" t="s">
        <v>518</v>
      </c>
      <c r="M130" s="5" t="n">
        <f aca="false">IF(K130="","",J130/K130)</f>
        <v>6250</v>
      </c>
      <c r="N130" s="2" t="n">
        <v>31</v>
      </c>
      <c r="O130" s="13" t="n">
        <v>0.03744</v>
      </c>
      <c r="P130" s="2" t="s">
        <v>310</v>
      </c>
      <c r="Q130" s="14" t="n">
        <f aca="false">MAX(N130/DRIVERS!$B$5,O130/DRIVERS!$B$6)</f>
        <v>0.0103333333333333</v>
      </c>
      <c r="R130" s="15" t="n">
        <f aca="false">ROUNDDOWN(1/Q130,0)</f>
        <v>96</v>
      </c>
      <c r="S130" s="5" t="n">
        <f aca="false">DRIVERS!$B$23*Q130/DRIVERS!$B$24</f>
        <v>53.6395668878782</v>
      </c>
      <c r="T130" s="5" t="n">
        <f aca="false">J130*INDEX(DRIVERS!$C$32:$C$42,MATCH(B130,DRIVERS!$A$32:$A$42,0))</f>
        <v>0</v>
      </c>
      <c r="U130" s="5" t="n">
        <f aca="false">J130*INDEX(SUPPLIERS!$E$3:$E$30,MATCH(C130,SUPPLIERS!$A$3:$A$30,0))</f>
        <v>0</v>
      </c>
      <c r="V130" s="5" t="n">
        <v>0</v>
      </c>
      <c r="W130" s="5" t="n">
        <f aca="false">J130+S130+T130+U130+V130</f>
        <v>24053.6395668879</v>
      </c>
      <c r="X130" s="9" t="n">
        <f aca="false">W130/J130-1</f>
        <v>0.00223498195366156</v>
      </c>
      <c r="Y130" s="6" t="n">
        <f aca="false">INDEX(DRIVERS!$B$32:$B$42,MATCH(B130,DRIVERS!$A$32:$A$42,0))</f>
        <v>0.15</v>
      </c>
      <c r="Z130" s="5" t="n">
        <f aca="false">W130*(1+Y130)</f>
        <v>27661.6855019211</v>
      </c>
      <c r="AA130" s="5" t="n">
        <f aca="false">W130*(1+Y130+DRIVERS!$B$26)*(1+DRIVERS!$B$27)</f>
        <v>32328.0915778973</v>
      </c>
      <c r="AB130" s="2" t="s">
        <v>218</v>
      </c>
      <c r="AC130" s="8"/>
    </row>
    <row r="131" customFormat="false" ht="15" hidden="false" customHeight="false" outlineLevel="0" collapsed="false">
      <c r="A131" s="2" t="s">
        <v>614</v>
      </c>
      <c r="B131" s="2" t="s">
        <v>515</v>
      </c>
      <c r="C131" s="2" t="s">
        <v>92</v>
      </c>
      <c r="D131" s="2" t="s">
        <v>615</v>
      </c>
      <c r="E131" s="2" t="s">
        <v>616</v>
      </c>
      <c r="F131" s="2" t="s">
        <v>186</v>
      </c>
      <c r="G131" s="2" t="s">
        <v>186</v>
      </c>
      <c r="H131" s="5" t="n">
        <v>56000</v>
      </c>
      <c r="I131" s="6" t="n">
        <f aca="false">INDEX(SUPPLIERS!$D$3:$D$30,MATCH(C131,SUPPLIERS!$A$3:$A$30,0))</f>
        <v>0</v>
      </c>
      <c r="J131" s="5" t="n">
        <f aca="false">H131*(1-I131)</f>
        <v>56000</v>
      </c>
      <c r="K131" s="2" t="n">
        <v>7.17</v>
      </c>
      <c r="L131" s="2" t="s">
        <v>518</v>
      </c>
      <c r="M131" s="5" t="n">
        <f aca="false">IF(K131="","",J131/K131)</f>
        <v>7810.32078103208</v>
      </c>
      <c r="N131" s="2" t="n">
        <v>75</v>
      </c>
      <c r="O131" s="13" t="n">
        <v>0.08671</v>
      </c>
      <c r="P131" s="2" t="s">
        <v>310</v>
      </c>
      <c r="Q131" s="14" t="n">
        <f aca="false">MAX(N131/DRIVERS!$B$5,O131/DRIVERS!$B$6)</f>
        <v>0.025</v>
      </c>
      <c r="R131" s="15" t="n">
        <f aca="false">ROUNDDOWN(1/Q131,0)</f>
        <v>40</v>
      </c>
      <c r="S131" s="5" t="n">
        <f aca="false">DRIVERS!$B$23*Q131/DRIVERS!$B$24</f>
        <v>129.773145696479</v>
      </c>
      <c r="T131" s="5" t="n">
        <f aca="false">J131*INDEX(DRIVERS!$C$32:$C$42,MATCH(B131,DRIVERS!$A$32:$A$42,0))</f>
        <v>0</v>
      </c>
      <c r="U131" s="5" t="n">
        <f aca="false">J131*INDEX(SUPPLIERS!$E$3:$E$30,MATCH(C131,SUPPLIERS!$A$3:$A$30,0))</f>
        <v>0</v>
      </c>
      <c r="V131" s="5" t="n">
        <v>0</v>
      </c>
      <c r="W131" s="5" t="n">
        <f aca="false">J131+S131+T131+U131+V131</f>
        <v>56129.7731456965</v>
      </c>
      <c r="X131" s="9" t="n">
        <f aca="false">W131/J131-1</f>
        <v>0.0023173776017229</v>
      </c>
      <c r="Y131" s="6" t="n">
        <f aca="false">INDEX(DRIVERS!$B$32:$B$42,MATCH(B131,DRIVERS!$A$32:$A$42,0))</f>
        <v>0.15</v>
      </c>
      <c r="Z131" s="5" t="n">
        <f aca="false">W131*(1+Y131)</f>
        <v>64549.239117551</v>
      </c>
      <c r="AA131" s="5" t="n">
        <f aca="false">W131*(1+Y131+DRIVERS!$B$26)*(1+DRIVERS!$B$27)</f>
        <v>75438.4151078161</v>
      </c>
      <c r="AB131" s="2" t="s">
        <v>218</v>
      </c>
      <c r="AC131" s="8"/>
    </row>
    <row r="132" customFormat="false" ht="15" hidden="false" customHeight="false" outlineLevel="0" collapsed="false">
      <c r="A132" s="2" t="s">
        <v>617</v>
      </c>
      <c r="B132" s="2" t="s">
        <v>515</v>
      </c>
      <c r="C132" s="2" t="s">
        <v>92</v>
      </c>
      <c r="D132" s="2" t="s">
        <v>618</v>
      </c>
      <c r="E132" s="2" t="s">
        <v>619</v>
      </c>
      <c r="F132" s="2" t="s">
        <v>186</v>
      </c>
      <c r="G132" s="2" t="s">
        <v>186</v>
      </c>
      <c r="H132" s="5" t="n">
        <v>105000</v>
      </c>
      <c r="I132" s="6" t="n">
        <f aca="false">INDEX(SUPPLIERS!$D$3:$D$30,MATCH(C132,SUPPLIERS!$A$3:$A$30,0))</f>
        <v>0</v>
      </c>
      <c r="J132" s="5" t="n">
        <f aca="false">H132*(1-I132)</f>
        <v>105000</v>
      </c>
      <c r="K132" s="2" t="n">
        <v>16</v>
      </c>
      <c r="L132" s="2" t="s">
        <v>518</v>
      </c>
      <c r="M132" s="5" t="n">
        <f aca="false">IF(K132="","",J132/K132)</f>
        <v>6562.5</v>
      </c>
      <c r="N132" s="2" t="n">
        <v>147</v>
      </c>
      <c r="O132" s="13" t="n">
        <v>0.35</v>
      </c>
      <c r="P132" s="2" t="s">
        <v>310</v>
      </c>
      <c r="Q132" s="14" t="n">
        <f aca="false">MAX(N132/DRIVERS!$B$5,O132/DRIVERS!$B$6)</f>
        <v>0.049</v>
      </c>
      <c r="R132" s="15" t="n">
        <f aca="false">ROUNDDOWN(1/Q132,0)</f>
        <v>20</v>
      </c>
      <c r="S132" s="5" t="n">
        <f aca="false">DRIVERS!$B$23*Q132/DRIVERS!$B$24</f>
        <v>254.3553655651</v>
      </c>
      <c r="T132" s="5" t="n">
        <f aca="false">J132*INDEX(DRIVERS!$C$32:$C$42,MATCH(B132,DRIVERS!$A$32:$A$42,0))</f>
        <v>0</v>
      </c>
      <c r="U132" s="5" t="n">
        <f aca="false">J132*INDEX(SUPPLIERS!$E$3:$E$30,MATCH(C132,SUPPLIERS!$A$3:$A$30,0))</f>
        <v>0</v>
      </c>
      <c r="V132" s="5" t="n">
        <v>0</v>
      </c>
      <c r="W132" s="5" t="n">
        <f aca="false">J132+S132+T132+U132+V132</f>
        <v>105254.355365565</v>
      </c>
      <c r="X132" s="9" t="n">
        <f aca="false">W132/J132-1</f>
        <v>0.00242243205300108</v>
      </c>
      <c r="Y132" s="6" t="n">
        <f aca="false">INDEX(DRIVERS!$B$32:$B$42,MATCH(B132,DRIVERS!$A$32:$A$42,0))</f>
        <v>0.15</v>
      </c>
      <c r="Z132" s="5" t="n">
        <f aca="false">W132*(1+Y132)</f>
        <v>121042.5086704</v>
      </c>
      <c r="AA132" s="5" t="n">
        <f aca="false">W132*(1+Y132+DRIVERS!$B$26)*(1+DRIVERS!$B$27)</f>
        <v>141461.85361132</v>
      </c>
      <c r="AB132" s="2" t="s">
        <v>218</v>
      </c>
      <c r="AC132" s="8"/>
    </row>
    <row r="133" customFormat="false" ht="15" hidden="false" customHeight="false" outlineLevel="0" collapsed="false">
      <c r="A133" s="2" t="s">
        <v>620</v>
      </c>
      <c r="B133" s="2" t="s">
        <v>515</v>
      </c>
      <c r="C133" s="2" t="s">
        <v>92</v>
      </c>
      <c r="D133" s="2" t="s">
        <v>621</v>
      </c>
      <c r="E133" s="2" t="s">
        <v>622</v>
      </c>
      <c r="F133" s="2" t="s">
        <v>186</v>
      </c>
      <c r="G133" s="2" t="s">
        <v>186</v>
      </c>
      <c r="H133" s="5" t="n">
        <v>205000</v>
      </c>
      <c r="I133" s="6" t="n">
        <f aca="false">INDEX(SUPPLIERS!$D$3:$D$30,MATCH(C133,SUPPLIERS!$A$3:$A$30,0))</f>
        <v>0</v>
      </c>
      <c r="J133" s="5" t="n">
        <f aca="false">H133*(1-I133)</f>
        <v>205000</v>
      </c>
      <c r="K133" s="2" t="n">
        <v>30</v>
      </c>
      <c r="L133" s="2" t="s">
        <v>518</v>
      </c>
      <c r="M133" s="5" t="n">
        <f aca="false">IF(K133="","",J133/K133)</f>
        <v>6833.33333333333</v>
      </c>
      <c r="N133" s="2" t="n">
        <v>230</v>
      </c>
      <c r="O133" s="13" t="n">
        <v>0.27787</v>
      </c>
      <c r="P133" s="2" t="s">
        <v>310</v>
      </c>
      <c r="Q133" s="14" t="n">
        <f aca="false">MAX(N133/DRIVERS!$B$5,O133/DRIVERS!$B$6)</f>
        <v>0.0766666666666667</v>
      </c>
      <c r="R133" s="15" t="n">
        <f aca="false">ROUNDDOWN(1/Q133,0)</f>
        <v>13</v>
      </c>
      <c r="S133" s="5" t="n">
        <f aca="false">DRIVERS!$B$23*Q133/DRIVERS!$B$24</f>
        <v>397.97098013587</v>
      </c>
      <c r="T133" s="5" t="n">
        <f aca="false">J133*INDEX(DRIVERS!$C$32:$C$42,MATCH(B133,DRIVERS!$A$32:$A$42,0))</f>
        <v>0</v>
      </c>
      <c r="U133" s="5" t="n">
        <f aca="false">J133*INDEX(SUPPLIERS!$E$3:$E$30,MATCH(C133,SUPPLIERS!$A$3:$A$30,0))</f>
        <v>0</v>
      </c>
      <c r="V133" s="5" t="n">
        <v>0</v>
      </c>
      <c r="W133" s="5" t="n">
        <f aca="false">J133+S133+T133+U133+V133</f>
        <v>205397.970980136</v>
      </c>
      <c r="X133" s="9" t="n">
        <f aca="false">W133/J133-1</f>
        <v>0.00194132185432139</v>
      </c>
      <c r="Y133" s="6" t="n">
        <f aca="false">INDEX(DRIVERS!$B$32:$B$42,MATCH(B133,DRIVERS!$A$32:$A$42,0))</f>
        <v>0.15</v>
      </c>
      <c r="Z133" s="5" t="n">
        <f aca="false">W133*(1+Y133)</f>
        <v>236207.666627156</v>
      </c>
      <c r="AA133" s="5" t="n">
        <f aca="false">W133*(1+Y133+DRIVERS!$B$26)*(1+DRIVERS!$B$27)</f>
        <v>276054.872997303</v>
      </c>
      <c r="AB133" s="2" t="s">
        <v>218</v>
      </c>
      <c r="AC133" s="8"/>
    </row>
    <row r="134" customFormat="false" ht="15" hidden="false" customHeight="false" outlineLevel="0" collapsed="false">
      <c r="A134" s="2" t="s">
        <v>623</v>
      </c>
      <c r="B134" s="2" t="s">
        <v>515</v>
      </c>
      <c r="C134" s="2" t="s">
        <v>92</v>
      </c>
      <c r="D134" s="2" t="s">
        <v>624</v>
      </c>
      <c r="E134" s="2" t="s">
        <v>625</v>
      </c>
      <c r="F134" s="2" t="s">
        <v>186</v>
      </c>
      <c r="G134" s="2" t="s">
        <v>186</v>
      </c>
      <c r="H134" s="5" t="n">
        <v>115000</v>
      </c>
      <c r="I134" s="6" t="n">
        <f aca="false">INDEX(SUPPLIERS!$D$3:$D$30,MATCH(C134,SUPPLIERS!$A$3:$A$30,0))</f>
        <v>0</v>
      </c>
      <c r="J134" s="5" t="n">
        <f aca="false">H134*(1-I134)</f>
        <v>115000</v>
      </c>
      <c r="K134" s="2" t="n">
        <v>16</v>
      </c>
      <c r="L134" s="2" t="s">
        <v>518</v>
      </c>
      <c r="M134" s="5" t="n">
        <f aca="false">IF(K134="","",J134/K134)</f>
        <v>7187.5</v>
      </c>
      <c r="N134" s="2" t="n">
        <v>123</v>
      </c>
      <c r="O134" s="13" t="n">
        <v>0.15949</v>
      </c>
      <c r="P134" s="2" t="s">
        <v>310</v>
      </c>
      <c r="Q134" s="14" t="n">
        <f aca="false">MAX(N134/DRIVERS!$B$5,O134/DRIVERS!$B$6)</f>
        <v>0.041</v>
      </c>
      <c r="R134" s="15" t="n">
        <f aca="false">ROUNDDOWN(1/Q134,0)</f>
        <v>24</v>
      </c>
      <c r="S134" s="5" t="n">
        <f aca="false">DRIVERS!$B$23*Q134/DRIVERS!$B$24</f>
        <v>212.827958942226</v>
      </c>
      <c r="T134" s="5" t="n">
        <f aca="false">J134*INDEX(DRIVERS!$C$32:$C$42,MATCH(B134,DRIVERS!$A$32:$A$42,0))</f>
        <v>0</v>
      </c>
      <c r="U134" s="5" t="n">
        <f aca="false">J134*INDEX(SUPPLIERS!$E$3:$E$30,MATCH(C134,SUPPLIERS!$A$3:$A$30,0))</f>
        <v>0</v>
      </c>
      <c r="V134" s="5" t="n">
        <v>0</v>
      </c>
      <c r="W134" s="5" t="n">
        <f aca="false">J134+S134+T134+U134+V134</f>
        <v>115212.827958942</v>
      </c>
      <c r="X134" s="9" t="n">
        <f aca="false">W134/J134-1</f>
        <v>0.00185067790384541</v>
      </c>
      <c r="Y134" s="6" t="n">
        <f aca="false">INDEX(DRIVERS!$B$32:$B$42,MATCH(B134,DRIVERS!$A$32:$A$42,0))</f>
        <v>0.15</v>
      </c>
      <c r="Z134" s="5" t="n">
        <f aca="false">W134*(1+Y134)</f>
        <v>132494.752152784</v>
      </c>
      <c r="AA134" s="5" t="n">
        <f aca="false">W134*(1+Y134+DRIVERS!$B$26)*(1+DRIVERS!$B$27)</f>
        <v>154846.040776818</v>
      </c>
      <c r="AB134" s="2" t="s">
        <v>218</v>
      </c>
      <c r="AC134" s="8"/>
    </row>
    <row r="135" customFormat="false" ht="15" hidden="false" customHeight="false" outlineLevel="0" collapsed="false">
      <c r="A135" s="2" t="s">
        <v>626</v>
      </c>
      <c r="B135" s="2" t="s">
        <v>515</v>
      </c>
      <c r="C135" s="2" t="s">
        <v>92</v>
      </c>
      <c r="D135" s="2" t="s">
        <v>627</v>
      </c>
      <c r="E135" s="2" t="s">
        <v>628</v>
      </c>
      <c r="F135" s="2" t="s">
        <v>186</v>
      </c>
      <c r="G135" s="2" t="s">
        <v>186</v>
      </c>
      <c r="H135" s="5" t="n">
        <v>85000</v>
      </c>
      <c r="I135" s="6" t="n">
        <f aca="false">INDEX(SUPPLIERS!$D$3:$D$30,MATCH(C135,SUPPLIERS!$A$3:$A$30,0))</f>
        <v>0</v>
      </c>
      <c r="J135" s="5" t="n">
        <f aca="false">H135*(1-I135)</f>
        <v>85000</v>
      </c>
      <c r="K135" s="2" t="n">
        <v>11.78</v>
      </c>
      <c r="L135" s="2" t="s">
        <v>518</v>
      </c>
      <c r="M135" s="5" t="n">
        <f aca="false">IF(K135="","",J135/K135)</f>
        <v>7215.61969439728</v>
      </c>
      <c r="N135" s="2" t="n">
        <v>110</v>
      </c>
      <c r="O135" s="13" t="n">
        <v>0.17005</v>
      </c>
      <c r="P135" s="2" t="s">
        <v>310</v>
      </c>
      <c r="Q135" s="14" t="n">
        <f aca="false">MAX(N135/DRIVERS!$B$5,O135/DRIVERS!$B$6)</f>
        <v>0.0366666666666667</v>
      </c>
      <c r="R135" s="15" t="n">
        <f aca="false">ROUNDDOWN(1/Q135,0)</f>
        <v>27</v>
      </c>
      <c r="S135" s="5" t="n">
        <f aca="false">DRIVERS!$B$23*Q135/DRIVERS!$B$24</f>
        <v>190.333947021503</v>
      </c>
      <c r="T135" s="5" t="n">
        <f aca="false">J135*INDEX(DRIVERS!$C$32:$C$42,MATCH(B135,DRIVERS!$A$32:$A$42,0))</f>
        <v>0</v>
      </c>
      <c r="U135" s="5" t="n">
        <f aca="false">J135*INDEX(SUPPLIERS!$E$3:$E$30,MATCH(C135,SUPPLIERS!$A$3:$A$30,0))</f>
        <v>0</v>
      </c>
      <c r="V135" s="5" t="n">
        <v>0</v>
      </c>
      <c r="W135" s="5" t="n">
        <f aca="false">J135+S135+T135+U135+V135</f>
        <v>85190.3339470215</v>
      </c>
      <c r="X135" s="9" t="n">
        <f aca="false">W135/J135-1</f>
        <v>0.00223922290613521</v>
      </c>
      <c r="Y135" s="6" t="n">
        <f aca="false">INDEX(DRIVERS!$B$32:$B$42,MATCH(B135,DRIVERS!$A$32:$A$42,0))</f>
        <v>0.15</v>
      </c>
      <c r="Z135" s="5" t="n">
        <f aca="false">W135*(1+Y135)</f>
        <v>97968.8840390747</v>
      </c>
      <c r="AA135" s="5" t="n">
        <f aca="false">W135*(1+Y135+DRIVERS!$B$26)*(1+DRIVERS!$B$27)</f>
        <v>114495.808824797</v>
      </c>
      <c r="AB135" s="2" t="s">
        <v>218</v>
      </c>
      <c r="AC135" s="8"/>
    </row>
    <row r="136" customFormat="false" ht="15" hidden="false" customHeight="false" outlineLevel="0" collapsed="false">
      <c r="A136" s="2" t="s">
        <v>629</v>
      </c>
      <c r="B136" s="2" t="s">
        <v>515</v>
      </c>
      <c r="C136" s="2" t="s">
        <v>92</v>
      </c>
      <c r="D136" s="2" t="s">
        <v>630</v>
      </c>
      <c r="E136" s="2" t="s">
        <v>631</v>
      </c>
      <c r="F136" s="2" t="s">
        <v>186</v>
      </c>
      <c r="G136" s="2" t="s">
        <v>186</v>
      </c>
      <c r="H136" s="5" t="n">
        <v>45000</v>
      </c>
      <c r="I136" s="6" t="n">
        <f aca="false">INDEX(SUPPLIERS!$D$3:$D$30,MATCH(C136,SUPPLIERS!$A$3:$A$30,0))</f>
        <v>0</v>
      </c>
      <c r="J136" s="5" t="n">
        <f aca="false">H136*(1-I136)</f>
        <v>45000</v>
      </c>
      <c r="K136" s="2" t="n">
        <v>6.14</v>
      </c>
      <c r="L136" s="2" t="s">
        <v>518</v>
      </c>
      <c r="M136" s="5" t="n">
        <f aca="false">IF(K136="","",J136/K136)</f>
        <v>7328.99022801303</v>
      </c>
      <c r="N136" s="2" t="n">
        <v>80</v>
      </c>
      <c r="O136" s="13" t="n">
        <v>0.10672</v>
      </c>
      <c r="P136" s="2" t="s">
        <v>310</v>
      </c>
      <c r="Q136" s="14" t="n">
        <f aca="false">MAX(N136/DRIVERS!$B$5,O136/DRIVERS!$B$6)</f>
        <v>0.0266666666666667</v>
      </c>
      <c r="R136" s="15" t="n">
        <f aca="false">ROUNDDOWN(1/Q136,0)</f>
        <v>37</v>
      </c>
      <c r="S136" s="5" t="n">
        <f aca="false">DRIVERS!$B$23*Q136/DRIVERS!$B$24</f>
        <v>138.424688742911</v>
      </c>
      <c r="T136" s="5" t="n">
        <f aca="false">J136*INDEX(DRIVERS!$C$32:$C$42,MATCH(B136,DRIVERS!$A$32:$A$42,0))</f>
        <v>0</v>
      </c>
      <c r="U136" s="5" t="n">
        <f aca="false">J136*INDEX(SUPPLIERS!$E$3:$E$30,MATCH(C136,SUPPLIERS!$A$3:$A$30,0))</f>
        <v>0</v>
      </c>
      <c r="V136" s="5" t="n">
        <v>0</v>
      </c>
      <c r="W136" s="5" t="n">
        <f aca="false">J136+S136+T136+U136+V136</f>
        <v>45138.4246887429</v>
      </c>
      <c r="X136" s="9" t="n">
        <f aca="false">W136/J136-1</f>
        <v>0.00307610419428683</v>
      </c>
      <c r="Y136" s="6" t="n">
        <f aca="false">INDEX(DRIVERS!$B$32:$B$42,MATCH(B136,DRIVERS!$A$32:$A$42,0))</f>
        <v>0.15</v>
      </c>
      <c r="Z136" s="5" t="n">
        <f aca="false">W136*(1+Y136)</f>
        <v>51909.1883920543</v>
      </c>
      <c r="AA136" s="5" t="n">
        <f aca="false">W136*(1+Y136+DRIVERS!$B$26)*(1+DRIVERS!$B$27)</f>
        <v>60666.0427816705</v>
      </c>
      <c r="AB136" s="2" t="s">
        <v>218</v>
      </c>
      <c r="AC136" s="8"/>
    </row>
    <row r="137" customFormat="false" ht="15" hidden="false" customHeight="false" outlineLevel="0" collapsed="false">
      <c r="A137" s="2" t="s">
        <v>632</v>
      </c>
      <c r="B137" s="2" t="s">
        <v>515</v>
      </c>
      <c r="C137" s="2" t="s">
        <v>92</v>
      </c>
      <c r="D137" s="2" t="s">
        <v>633</v>
      </c>
      <c r="E137" s="2" t="s">
        <v>634</v>
      </c>
      <c r="F137" s="2" t="s">
        <v>635</v>
      </c>
      <c r="G137" s="2" t="s">
        <v>635</v>
      </c>
      <c r="H137" s="5" t="n">
        <v>2160000</v>
      </c>
      <c r="I137" s="6" t="n">
        <f aca="false">INDEX(SUPPLIERS!$D$3:$D$30,MATCH(C137,SUPPLIERS!$A$3:$A$30,0))</f>
        <v>0</v>
      </c>
      <c r="J137" s="5" t="n">
        <f aca="false">H137*(1-I137)</f>
        <v>2160000</v>
      </c>
      <c r="K137" s="2" t="n">
        <v>257</v>
      </c>
      <c r="L137" s="2" t="s">
        <v>518</v>
      </c>
      <c r="M137" s="5" t="n">
        <f aca="false">IF(K137="","",J137/K137)</f>
        <v>8404.66926070039</v>
      </c>
      <c r="N137" s="2" t="n">
        <v>2950</v>
      </c>
      <c r="O137" s="13" t="n">
        <v>5.1765</v>
      </c>
      <c r="P137" s="2" t="s">
        <v>636</v>
      </c>
      <c r="Q137" s="14" t="n">
        <f aca="false">MAX(N137/DRIVERS!$B$5,O137/DRIVERS!$B$6)</f>
        <v>0.983333333333333</v>
      </c>
      <c r="R137" s="15" t="n">
        <f aca="false">ROUNDDOWN(1/Q137,0)</f>
        <v>1</v>
      </c>
      <c r="S137" s="5" t="n">
        <f aca="false">DRIVERS!$B$23*Q137/DRIVERS!$B$24</f>
        <v>5104.41039739486</v>
      </c>
      <c r="T137" s="5" t="n">
        <f aca="false">J137*INDEX(DRIVERS!$C$32:$C$42,MATCH(B137,DRIVERS!$A$32:$A$42,0))</f>
        <v>0</v>
      </c>
      <c r="U137" s="5" t="n">
        <f aca="false">J137*INDEX(SUPPLIERS!$E$3:$E$30,MATCH(C137,SUPPLIERS!$A$3:$A$30,0))</f>
        <v>0</v>
      </c>
      <c r="V137" s="5" t="n">
        <v>0</v>
      </c>
      <c r="W137" s="5" t="n">
        <f aca="false">J137+S137+T137+U137+V137</f>
        <v>2165104.4103974</v>
      </c>
      <c r="X137" s="9" t="n">
        <f aca="false">W137/J137-1</f>
        <v>0.00236315296175693</v>
      </c>
      <c r="Y137" s="6" t="n">
        <f aca="false">INDEX(DRIVERS!$B$32:$B$42,MATCH(B137,DRIVERS!$A$32:$A$42,0))</f>
        <v>0.15</v>
      </c>
      <c r="Z137" s="5" t="n">
        <f aca="false">W137*(1+Y137)</f>
        <v>2489870.071957</v>
      </c>
      <c r="AA137" s="5" t="n">
        <f aca="false">W137*(1+Y137+DRIVERS!$B$26)*(1+DRIVERS!$B$27)</f>
        <v>2909900.3275741</v>
      </c>
      <c r="AB137" s="2" t="s">
        <v>218</v>
      </c>
      <c r="AC137" s="8"/>
    </row>
    <row r="138" customFormat="false" ht="15" hidden="false" customHeight="false" outlineLevel="0" collapsed="false">
      <c r="A138" s="2" t="s">
        <v>637</v>
      </c>
      <c r="B138" s="2" t="s">
        <v>515</v>
      </c>
      <c r="C138" s="2" t="s">
        <v>92</v>
      </c>
      <c r="D138" s="2" t="s">
        <v>638</v>
      </c>
      <c r="E138" s="2" t="s">
        <v>639</v>
      </c>
      <c r="F138" s="2" t="s">
        <v>635</v>
      </c>
      <c r="G138" s="2" t="s">
        <v>635</v>
      </c>
      <c r="H138" s="5" t="n">
        <v>1080000</v>
      </c>
      <c r="I138" s="6" t="n">
        <f aca="false">INDEX(SUPPLIERS!$D$3:$D$30,MATCH(C138,SUPPLIERS!$A$3:$A$30,0))</f>
        <v>0</v>
      </c>
      <c r="J138" s="5" t="n">
        <f aca="false">H138*(1-I138)</f>
        <v>1080000</v>
      </c>
      <c r="K138" s="2" t="n">
        <v>128</v>
      </c>
      <c r="L138" s="2" t="s">
        <v>518</v>
      </c>
      <c r="M138" s="5" t="n">
        <f aca="false">IF(K138="","",J138/K138)</f>
        <v>8437.5</v>
      </c>
      <c r="N138" s="2" t="n">
        <v>1050</v>
      </c>
      <c r="O138" s="13" t="n">
        <v>1.3</v>
      </c>
      <c r="P138" s="2" t="s">
        <v>640</v>
      </c>
      <c r="Q138" s="14" t="n">
        <f aca="false">MAX(N138/DRIVERS!$B$5,O138/DRIVERS!$B$6)</f>
        <v>0.35</v>
      </c>
      <c r="R138" s="15" t="n">
        <f aca="false">ROUNDDOWN(1/Q138,0)</f>
        <v>2</v>
      </c>
      <c r="S138" s="5" t="n">
        <f aca="false">DRIVERS!$B$23*Q138/DRIVERS!$B$24</f>
        <v>1816.82403975071</v>
      </c>
      <c r="T138" s="5" t="n">
        <f aca="false">J138*INDEX(DRIVERS!$C$32:$C$42,MATCH(B138,DRIVERS!$A$32:$A$42,0))</f>
        <v>0</v>
      </c>
      <c r="U138" s="5" t="n">
        <f aca="false">J138*INDEX(SUPPLIERS!$E$3:$E$30,MATCH(C138,SUPPLIERS!$A$3:$A$30,0))</f>
        <v>0</v>
      </c>
      <c r="V138" s="5" t="n">
        <v>0</v>
      </c>
      <c r="W138" s="5" t="n">
        <f aca="false">J138+S138+T138+U138+V138</f>
        <v>1081816.82403975</v>
      </c>
      <c r="X138" s="9" t="n">
        <f aca="false">W138/J138-1</f>
        <v>0.00168224448125076</v>
      </c>
      <c r="Y138" s="6" t="n">
        <f aca="false">INDEX(DRIVERS!$B$32:$B$42,MATCH(B138,DRIVERS!$A$32:$A$42,0))</f>
        <v>0.15</v>
      </c>
      <c r="Z138" s="5" t="n">
        <f aca="false">W138*(1+Y138)</f>
        <v>1244089.34764571</v>
      </c>
      <c r="AA138" s="5" t="n">
        <f aca="false">W138*(1+Y138+DRIVERS!$B$26)*(1+DRIVERS!$B$27)</f>
        <v>1453961.81150943</v>
      </c>
      <c r="AB138" s="2" t="s">
        <v>218</v>
      </c>
      <c r="AC138" s="8"/>
    </row>
    <row r="139" customFormat="false" ht="15" hidden="false" customHeight="false" outlineLevel="0" collapsed="false">
      <c r="A139" s="2" t="s">
        <v>641</v>
      </c>
      <c r="B139" s="2" t="s">
        <v>515</v>
      </c>
      <c r="C139" s="2" t="s">
        <v>92</v>
      </c>
      <c r="D139" s="2" t="s">
        <v>642</v>
      </c>
      <c r="E139" s="2" t="s">
        <v>643</v>
      </c>
      <c r="F139" s="2" t="s">
        <v>635</v>
      </c>
      <c r="G139" s="2" t="s">
        <v>635</v>
      </c>
      <c r="H139" s="5" t="n">
        <v>715000</v>
      </c>
      <c r="I139" s="6" t="n">
        <f aca="false">INDEX(SUPPLIERS!$D$3:$D$30,MATCH(C139,SUPPLIERS!$A$3:$A$30,0))</f>
        <v>0</v>
      </c>
      <c r="J139" s="5" t="n">
        <f aca="false">H139*(1-I139)</f>
        <v>715000</v>
      </c>
      <c r="K139" s="2" t="n">
        <v>80</v>
      </c>
      <c r="L139" s="2" t="s">
        <v>518</v>
      </c>
      <c r="M139" s="5" t="n">
        <f aca="false">IF(K139="","",J139/K139)</f>
        <v>8937.5</v>
      </c>
      <c r="N139" s="2" t="n">
        <v>630</v>
      </c>
      <c r="O139" s="13" t="n">
        <v>0.8</v>
      </c>
      <c r="P139" s="2" t="s">
        <v>644</v>
      </c>
      <c r="Q139" s="14" t="n">
        <f aca="false">MAX(N139/DRIVERS!$B$5,O139/DRIVERS!$B$6)</f>
        <v>0.21</v>
      </c>
      <c r="R139" s="15" t="n">
        <f aca="false">ROUNDDOWN(1/Q139,0)</f>
        <v>4</v>
      </c>
      <c r="S139" s="5" t="n">
        <f aca="false">DRIVERS!$B$23*Q139/DRIVERS!$B$24</f>
        <v>1090.09442385043</v>
      </c>
      <c r="T139" s="5" t="n">
        <f aca="false">J139*INDEX(DRIVERS!$C$32:$C$42,MATCH(B139,DRIVERS!$A$32:$A$42,0))</f>
        <v>0</v>
      </c>
      <c r="U139" s="5" t="n">
        <f aca="false">J139*INDEX(SUPPLIERS!$E$3:$E$30,MATCH(C139,SUPPLIERS!$A$3:$A$30,0))</f>
        <v>0</v>
      </c>
      <c r="V139" s="5" t="n">
        <v>0</v>
      </c>
      <c r="W139" s="5" t="n">
        <f aca="false">J139+S139+T139+U139+V139</f>
        <v>716090.09442385</v>
      </c>
      <c r="X139" s="9" t="n">
        <f aca="false">W139/J139-1</f>
        <v>0.00152460758580486</v>
      </c>
      <c r="Y139" s="6" t="n">
        <f aca="false">INDEX(DRIVERS!$B$32:$B$42,MATCH(B139,DRIVERS!$A$32:$A$42,0))</f>
        <v>0.15</v>
      </c>
      <c r="Z139" s="5" t="n">
        <f aca="false">W139*(1+Y139)</f>
        <v>823503.608587428</v>
      </c>
      <c r="AA139" s="5" t="n">
        <f aca="false">W139*(1+Y139+DRIVERS!$B$26)*(1+DRIVERS!$B$27)</f>
        <v>962425.086905655</v>
      </c>
      <c r="AB139" s="2" t="s">
        <v>218</v>
      </c>
      <c r="AC139" s="8"/>
    </row>
    <row r="140" customFormat="false" ht="15" hidden="false" customHeight="false" outlineLevel="0" collapsed="false">
      <c r="A140" s="2" t="s">
        <v>645</v>
      </c>
      <c r="B140" s="2" t="s">
        <v>515</v>
      </c>
      <c r="C140" s="2" t="s">
        <v>92</v>
      </c>
      <c r="D140" s="2" t="s">
        <v>646</v>
      </c>
      <c r="E140" s="2" t="s">
        <v>647</v>
      </c>
      <c r="F140" s="2" t="s">
        <v>635</v>
      </c>
      <c r="G140" s="2" t="s">
        <v>635</v>
      </c>
      <c r="H140" s="5" t="n">
        <v>495000</v>
      </c>
      <c r="I140" s="6" t="n">
        <f aca="false">INDEX(SUPPLIERS!$D$3:$D$30,MATCH(C140,SUPPLIERS!$A$3:$A$30,0))</f>
        <v>0</v>
      </c>
      <c r="J140" s="5" t="n">
        <f aca="false">H140*(1-I140)</f>
        <v>495000</v>
      </c>
      <c r="K140" s="2" t="n">
        <v>40</v>
      </c>
      <c r="L140" s="2" t="s">
        <v>518</v>
      </c>
      <c r="M140" s="5" t="n">
        <f aca="false">IF(K140="","",J140/K140)</f>
        <v>12375</v>
      </c>
      <c r="N140" s="2" t="n">
        <v>450</v>
      </c>
      <c r="O140" s="13" t="n">
        <v>0.7</v>
      </c>
      <c r="P140" s="2" t="s">
        <v>648</v>
      </c>
      <c r="Q140" s="14" t="n">
        <f aca="false">MAX(N140/DRIVERS!$B$5,O140/DRIVERS!$B$6)</f>
        <v>0.15</v>
      </c>
      <c r="R140" s="15" t="n">
        <f aca="false">ROUNDDOWN(1/Q140,0)</f>
        <v>6</v>
      </c>
      <c r="S140" s="5" t="n">
        <f aca="false">DRIVERS!$B$23*Q140/DRIVERS!$B$24</f>
        <v>778.638874178877</v>
      </c>
      <c r="T140" s="5" t="n">
        <f aca="false">J140*INDEX(DRIVERS!$C$32:$C$42,MATCH(B140,DRIVERS!$A$32:$A$42,0))</f>
        <v>0</v>
      </c>
      <c r="U140" s="5" t="n">
        <f aca="false">J140*INDEX(SUPPLIERS!$E$3:$E$30,MATCH(C140,SUPPLIERS!$A$3:$A$30,0))</f>
        <v>0</v>
      </c>
      <c r="V140" s="5" t="n">
        <v>0</v>
      </c>
      <c r="W140" s="5" t="n">
        <f aca="false">J140+S140+T140+U140+V140</f>
        <v>495778.638874179</v>
      </c>
      <c r="X140" s="9" t="n">
        <f aca="false">W140/J140-1</f>
        <v>0.00157300782662406</v>
      </c>
      <c r="Y140" s="6" t="n">
        <f aca="false">INDEX(DRIVERS!$B$32:$B$42,MATCH(B140,DRIVERS!$A$32:$A$42,0))</f>
        <v>0.15</v>
      </c>
      <c r="Z140" s="5" t="n">
        <f aca="false">W140*(1+Y140)</f>
        <v>570145.434705306</v>
      </c>
      <c r="AA140" s="5" t="n">
        <f aca="false">W140*(1+Y140+DRIVERS!$B$26)*(1+DRIVERS!$B$27)</f>
        <v>666326.490646896</v>
      </c>
      <c r="AB140" s="2" t="s">
        <v>218</v>
      </c>
      <c r="AC140" s="8"/>
    </row>
    <row r="141" customFormat="false" ht="15" hidden="false" customHeight="false" outlineLevel="0" collapsed="false">
      <c r="A141" s="2" t="s">
        <v>649</v>
      </c>
      <c r="B141" s="2" t="s">
        <v>650</v>
      </c>
      <c r="C141" s="2" t="s">
        <v>93</v>
      </c>
      <c r="D141" s="2" t="s">
        <v>651</v>
      </c>
      <c r="E141" s="2" t="s">
        <v>652</v>
      </c>
      <c r="F141" s="2" t="s">
        <v>635</v>
      </c>
      <c r="G141" s="2" t="s">
        <v>635</v>
      </c>
      <c r="H141" s="5" t="n">
        <v>106000</v>
      </c>
      <c r="I141" s="6" t="n">
        <f aca="false">INDEX(SUPPLIERS!$D$3:$D$30,MATCH(C141,SUPPLIERS!$A$3:$A$30,0))</f>
        <v>0</v>
      </c>
      <c r="J141" s="5" t="n">
        <f aca="false">H141*(1-I141)</f>
        <v>106000</v>
      </c>
      <c r="K141" s="2" t="n">
        <v>15</v>
      </c>
      <c r="L141" s="2" t="s">
        <v>518</v>
      </c>
      <c r="M141" s="5" t="n">
        <f aca="false">IF(K141="","",J141/K141)</f>
        <v>7066.66666666667</v>
      </c>
      <c r="N141" s="2" t="n">
        <v>150</v>
      </c>
      <c r="O141" s="13" t="n">
        <v>0.22</v>
      </c>
      <c r="P141" s="2" t="s">
        <v>653</v>
      </c>
      <c r="Q141" s="14" t="n">
        <f aca="false">MAX(N141/DRIVERS!$B$5,O141/DRIVERS!$B$6)</f>
        <v>0.05</v>
      </c>
      <c r="R141" s="15" t="n">
        <f aca="false">ROUNDDOWN(1/Q141,0)</f>
        <v>20</v>
      </c>
      <c r="S141" s="5" t="n">
        <f aca="false">DRIVERS!$B$23*Q141/DRIVERS!$B$24</f>
        <v>259.546291392959</v>
      </c>
      <c r="T141" s="5" t="n">
        <f aca="false">J141*INDEX(DRIVERS!$C$32:$C$42,MATCH(B141,DRIVERS!$A$32:$A$42,0))</f>
        <v>0</v>
      </c>
      <c r="U141" s="5" t="n">
        <f aca="false">J141*INDEX(SUPPLIERS!$E$3:$E$30,MATCH(C141,SUPPLIERS!$A$3:$A$30,0))</f>
        <v>0</v>
      </c>
      <c r="V141" s="5" t="n">
        <v>0</v>
      </c>
      <c r="W141" s="5" t="n">
        <f aca="false">J141+S141+T141+U141+V141</f>
        <v>106259.546291393</v>
      </c>
      <c r="X141" s="9" t="n">
        <f aca="false">W141/J141-1</f>
        <v>0.00244854991880161</v>
      </c>
      <c r="Y141" s="6" t="n">
        <f aca="false">INDEX(DRIVERS!$B$32:$B$42,MATCH(B141,DRIVERS!$A$32:$A$42,0))</f>
        <v>0.15</v>
      </c>
      <c r="Z141" s="5" t="n">
        <f aca="false">W141*(1+Y141)</f>
        <v>122198.478235102</v>
      </c>
      <c r="AA141" s="5" t="n">
        <f aca="false">W141*(1+Y141+DRIVERS!$B$26)*(1+DRIVERS!$B$27)</f>
        <v>142812.830215632</v>
      </c>
      <c r="AB141" s="2" t="s">
        <v>189</v>
      </c>
      <c r="AC141" s="5" t="n">
        <v>106000</v>
      </c>
      <c r="AD141" s="2" t="s">
        <v>654</v>
      </c>
    </row>
    <row r="142" customFormat="false" ht="15" hidden="false" customHeight="false" outlineLevel="0" collapsed="false">
      <c r="A142" s="2" t="s">
        <v>655</v>
      </c>
      <c r="B142" s="2" t="s">
        <v>650</v>
      </c>
      <c r="C142" s="2" t="s">
        <v>93</v>
      </c>
      <c r="D142" s="2" t="s">
        <v>656</v>
      </c>
      <c r="F142" s="2" t="s">
        <v>635</v>
      </c>
      <c r="G142" s="2" t="s">
        <v>635</v>
      </c>
      <c r="H142" s="5" t="n">
        <v>205000</v>
      </c>
      <c r="I142" s="6" t="n">
        <f aca="false">INDEX(SUPPLIERS!$D$3:$D$30,MATCH(C142,SUPPLIERS!$A$3:$A$30,0))</f>
        <v>0</v>
      </c>
      <c r="J142" s="5" t="n">
        <f aca="false">H142*(1-I142)</f>
        <v>205000</v>
      </c>
      <c r="K142" s="2" t="n">
        <v>30</v>
      </c>
      <c r="L142" s="2" t="s">
        <v>518</v>
      </c>
      <c r="M142" s="5" t="n">
        <f aca="false">IF(K142="","",J142/K142)</f>
        <v>6833.33333333333</v>
      </c>
      <c r="N142" s="2" t="n">
        <v>300</v>
      </c>
      <c r="O142" s="13" t="n">
        <v>0.44</v>
      </c>
      <c r="P142" s="2" t="s">
        <v>239</v>
      </c>
      <c r="Q142" s="14" t="n">
        <f aca="false">MAX(N142/DRIVERS!$B$5,O142/DRIVERS!$B$6)</f>
        <v>0.1</v>
      </c>
      <c r="R142" s="15" t="n">
        <f aca="false">ROUNDDOWN(1/Q142,0)</f>
        <v>10</v>
      </c>
      <c r="S142" s="5" t="n">
        <f aca="false">DRIVERS!$B$23*Q142/DRIVERS!$B$24</f>
        <v>519.092582785918</v>
      </c>
      <c r="T142" s="5" t="n">
        <f aca="false">J142*INDEX(DRIVERS!$C$32:$C$42,MATCH(B142,DRIVERS!$A$32:$A$42,0))</f>
        <v>0</v>
      </c>
      <c r="U142" s="5" t="n">
        <f aca="false">J142*INDEX(SUPPLIERS!$E$3:$E$30,MATCH(C142,SUPPLIERS!$A$3:$A$30,0))</f>
        <v>0</v>
      </c>
      <c r="V142" s="5" t="n">
        <v>0</v>
      </c>
      <c r="W142" s="5" t="n">
        <f aca="false">J142+S142+T142+U142+V142</f>
        <v>205519.092582786</v>
      </c>
      <c r="X142" s="9" t="n">
        <f aca="false">W142/J142-1</f>
        <v>0.00253215894041925</v>
      </c>
      <c r="Y142" s="6" t="n">
        <f aca="false">INDEX(DRIVERS!$B$32:$B$42,MATCH(B142,DRIVERS!$A$32:$A$42,0))</f>
        <v>0.15</v>
      </c>
      <c r="Z142" s="5" t="n">
        <f aca="false">W142*(1+Y142)</f>
        <v>236346.956470204</v>
      </c>
      <c r="AA142" s="5" t="n">
        <f aca="false">W142*(1+Y142+DRIVERS!$B$26)*(1+DRIVERS!$B$27)</f>
        <v>276217.660431264</v>
      </c>
      <c r="AB142" s="2" t="s">
        <v>189</v>
      </c>
      <c r="AC142" s="5" t="n">
        <v>205000</v>
      </c>
    </row>
    <row r="143" customFormat="false" ht="15" hidden="false" customHeight="false" outlineLevel="0" collapsed="false">
      <c r="A143" s="2" t="s">
        <v>657</v>
      </c>
      <c r="B143" s="2" t="s">
        <v>650</v>
      </c>
      <c r="C143" s="2" t="s">
        <v>93</v>
      </c>
      <c r="D143" s="2" t="s">
        <v>658</v>
      </c>
      <c r="E143" s="2" t="s">
        <v>659</v>
      </c>
      <c r="F143" s="2" t="s">
        <v>635</v>
      </c>
      <c r="G143" s="2" t="s">
        <v>635</v>
      </c>
      <c r="H143" s="5" t="n">
        <v>300000</v>
      </c>
      <c r="I143" s="6" t="n">
        <f aca="false">INDEX(SUPPLIERS!$D$3:$D$30,MATCH(C143,SUPPLIERS!$A$3:$A$30,0))</f>
        <v>0</v>
      </c>
      <c r="J143" s="5" t="n">
        <f aca="false">H143*(1-I143)</f>
        <v>300000</v>
      </c>
      <c r="K143" s="2" t="n">
        <v>45</v>
      </c>
      <c r="L143" s="2" t="s">
        <v>518</v>
      </c>
      <c r="M143" s="5" t="n">
        <f aca="false">IF(K143="","",J143/K143)</f>
        <v>6666.66666666667</v>
      </c>
      <c r="N143" s="2" t="n">
        <v>450</v>
      </c>
      <c r="O143" s="13" t="n">
        <v>0.66</v>
      </c>
      <c r="P143" s="2" t="s">
        <v>239</v>
      </c>
      <c r="Q143" s="14" t="n">
        <f aca="false">MAX(N143/DRIVERS!$B$5,O143/DRIVERS!$B$6)</f>
        <v>0.15</v>
      </c>
      <c r="R143" s="15" t="n">
        <f aca="false">ROUNDDOWN(1/Q143,0)</f>
        <v>6</v>
      </c>
      <c r="S143" s="5" t="n">
        <f aca="false">DRIVERS!$B$23*Q143/DRIVERS!$B$24</f>
        <v>778.638874178877</v>
      </c>
      <c r="T143" s="5" t="n">
        <f aca="false">J143*INDEX(DRIVERS!$C$32:$C$42,MATCH(B143,DRIVERS!$A$32:$A$42,0))</f>
        <v>0</v>
      </c>
      <c r="U143" s="5" t="n">
        <f aca="false">J143*INDEX(SUPPLIERS!$E$3:$E$30,MATCH(C143,SUPPLIERS!$A$3:$A$30,0))</f>
        <v>0</v>
      </c>
      <c r="V143" s="5" t="n">
        <v>0</v>
      </c>
      <c r="W143" s="5" t="n">
        <f aca="false">J143+S143+T143+U143+V143</f>
        <v>300778.638874179</v>
      </c>
      <c r="X143" s="9" t="n">
        <f aca="false">W143/J143-1</f>
        <v>0.00259546291392954</v>
      </c>
      <c r="Y143" s="6" t="n">
        <f aca="false">INDEX(DRIVERS!$B$32:$B$42,MATCH(B143,DRIVERS!$A$32:$A$42,0))</f>
        <v>0.15</v>
      </c>
      <c r="Z143" s="5" t="n">
        <f aca="false">W143*(1+Y143)</f>
        <v>345895.434705306</v>
      </c>
      <c r="AA143" s="5" t="n">
        <f aca="false">W143*(1+Y143+DRIVERS!$B$26)*(1+DRIVERS!$B$27)</f>
        <v>404246.490646896</v>
      </c>
      <c r="AB143" s="2" t="s">
        <v>189</v>
      </c>
      <c r="AC143" s="5" t="n">
        <v>300000</v>
      </c>
      <c r="AD143" s="2" t="s">
        <v>660</v>
      </c>
    </row>
    <row r="144" customFormat="false" ht="15" hidden="false" customHeight="false" outlineLevel="0" collapsed="false">
      <c r="A144" s="2" t="s">
        <v>661</v>
      </c>
      <c r="B144" s="2" t="s">
        <v>650</v>
      </c>
      <c r="C144" s="2" t="s">
        <v>93</v>
      </c>
      <c r="D144" s="2" t="s">
        <v>662</v>
      </c>
      <c r="F144" s="2" t="s">
        <v>635</v>
      </c>
      <c r="G144" s="2" t="s">
        <v>635</v>
      </c>
      <c r="H144" s="5" t="n">
        <v>195000</v>
      </c>
      <c r="I144" s="6" t="n">
        <f aca="false">INDEX(SUPPLIERS!$D$3:$D$30,MATCH(C144,SUPPLIERS!$A$3:$A$30,0))</f>
        <v>0</v>
      </c>
      <c r="J144" s="5" t="n">
        <f aca="false">H144*(1-I144)</f>
        <v>195000</v>
      </c>
      <c r="K144" s="2" t="n">
        <v>30</v>
      </c>
      <c r="L144" s="2" t="s">
        <v>518</v>
      </c>
      <c r="M144" s="5" t="n">
        <f aca="false">IF(K144="","",J144/K144)</f>
        <v>6500</v>
      </c>
      <c r="N144" s="2" t="n">
        <v>300</v>
      </c>
      <c r="O144" s="13" t="n">
        <v>0.44</v>
      </c>
      <c r="P144" s="2" t="s">
        <v>239</v>
      </c>
      <c r="Q144" s="14" t="n">
        <f aca="false">MAX(N144/DRIVERS!$B$5,O144/DRIVERS!$B$6)</f>
        <v>0.1</v>
      </c>
      <c r="R144" s="15" t="n">
        <f aca="false">ROUNDDOWN(1/Q144,0)</f>
        <v>10</v>
      </c>
      <c r="S144" s="5" t="n">
        <f aca="false">DRIVERS!$B$23*Q144/DRIVERS!$B$24</f>
        <v>519.092582785918</v>
      </c>
      <c r="T144" s="5" t="n">
        <f aca="false">J144*INDEX(DRIVERS!$C$32:$C$42,MATCH(B144,DRIVERS!$A$32:$A$42,0))</f>
        <v>0</v>
      </c>
      <c r="U144" s="5" t="n">
        <f aca="false">J144*INDEX(SUPPLIERS!$E$3:$E$30,MATCH(C144,SUPPLIERS!$A$3:$A$30,0))</f>
        <v>0</v>
      </c>
      <c r="V144" s="5" t="n">
        <v>0</v>
      </c>
      <c r="W144" s="5" t="n">
        <f aca="false">J144+S144+T144+U144+V144</f>
        <v>195519.092582786</v>
      </c>
      <c r="X144" s="9" t="n">
        <f aca="false">W144/J144-1</f>
        <v>0.00266201324505611</v>
      </c>
      <c r="Y144" s="6" t="n">
        <f aca="false">INDEX(DRIVERS!$B$32:$B$42,MATCH(B144,DRIVERS!$A$32:$A$42,0))</f>
        <v>0.15</v>
      </c>
      <c r="Z144" s="5" t="n">
        <f aca="false">W144*(1+Y144)</f>
        <v>224846.956470204</v>
      </c>
      <c r="AA144" s="5" t="n">
        <f aca="false">W144*(1+Y144+DRIVERS!$B$26)*(1+DRIVERS!$B$27)</f>
        <v>262777.660431264</v>
      </c>
      <c r="AB144" s="2" t="s">
        <v>189</v>
      </c>
      <c r="AC144" s="5" t="n">
        <v>195000</v>
      </c>
    </row>
    <row r="145" customFormat="false" ht="15" hidden="false" customHeight="false" outlineLevel="0" collapsed="false">
      <c r="A145" s="2" t="s">
        <v>663</v>
      </c>
      <c r="B145" s="2" t="s">
        <v>650</v>
      </c>
      <c r="C145" s="2" t="s">
        <v>93</v>
      </c>
      <c r="D145" s="2" t="s">
        <v>664</v>
      </c>
      <c r="E145" s="2" t="s">
        <v>665</v>
      </c>
      <c r="F145" s="2" t="s">
        <v>635</v>
      </c>
      <c r="G145" s="2" t="s">
        <v>635</v>
      </c>
      <c r="H145" s="5" t="n">
        <v>275000</v>
      </c>
      <c r="I145" s="6" t="n">
        <f aca="false">INDEX(SUPPLIERS!$D$3:$D$30,MATCH(C145,SUPPLIERS!$A$3:$A$30,0))</f>
        <v>0</v>
      </c>
      <c r="J145" s="5" t="n">
        <f aca="false">H145*(1-I145)</f>
        <v>275000</v>
      </c>
      <c r="K145" s="2" t="n">
        <v>45</v>
      </c>
      <c r="L145" s="2" t="s">
        <v>518</v>
      </c>
      <c r="M145" s="5" t="n">
        <f aca="false">IF(K145="","",J145/K145)</f>
        <v>6111.11111111111</v>
      </c>
      <c r="N145" s="2" t="n">
        <v>450</v>
      </c>
      <c r="O145" s="13" t="n">
        <v>0.66</v>
      </c>
      <c r="P145" s="2" t="s">
        <v>239</v>
      </c>
      <c r="Q145" s="14" t="n">
        <f aca="false">MAX(N145/DRIVERS!$B$5,O145/DRIVERS!$B$6)</f>
        <v>0.15</v>
      </c>
      <c r="R145" s="15" t="n">
        <f aca="false">ROUNDDOWN(1/Q145,0)</f>
        <v>6</v>
      </c>
      <c r="S145" s="5" t="n">
        <f aca="false">DRIVERS!$B$23*Q145/DRIVERS!$B$24</f>
        <v>778.638874178877</v>
      </c>
      <c r="T145" s="5" t="n">
        <f aca="false">J145*INDEX(DRIVERS!$C$32:$C$42,MATCH(B145,DRIVERS!$A$32:$A$42,0))</f>
        <v>0</v>
      </c>
      <c r="U145" s="5" t="n">
        <f aca="false">J145*INDEX(SUPPLIERS!$E$3:$E$30,MATCH(C145,SUPPLIERS!$A$3:$A$30,0))</f>
        <v>0</v>
      </c>
      <c r="V145" s="5" t="n">
        <v>0</v>
      </c>
      <c r="W145" s="5" t="n">
        <f aca="false">J145+S145+T145+U145+V145</f>
        <v>275778.638874179</v>
      </c>
      <c r="X145" s="9" t="n">
        <f aca="false">W145/J145-1</f>
        <v>0.00283141408792309</v>
      </c>
      <c r="Y145" s="6" t="n">
        <f aca="false">INDEX(DRIVERS!$B$32:$B$42,MATCH(B145,DRIVERS!$A$32:$A$42,0))</f>
        <v>0.15</v>
      </c>
      <c r="Z145" s="5" t="n">
        <f aca="false">W145*(1+Y145)</f>
        <v>317145.434705306</v>
      </c>
      <c r="AA145" s="5" t="n">
        <f aca="false">W145*(1+Y145+DRIVERS!$B$26)*(1+DRIVERS!$B$27)</f>
        <v>370646.490646896</v>
      </c>
      <c r="AB145" s="2" t="s">
        <v>189</v>
      </c>
      <c r="AC145" s="5" t="n">
        <v>275000</v>
      </c>
      <c r="AD145" s="2" t="s">
        <v>660</v>
      </c>
    </row>
    <row r="146" customFormat="false" ht="15" hidden="false" customHeight="false" outlineLevel="0" collapsed="false">
      <c r="A146" s="2" t="s">
        <v>666</v>
      </c>
      <c r="B146" s="2" t="s">
        <v>650</v>
      </c>
      <c r="C146" s="2" t="s">
        <v>93</v>
      </c>
      <c r="D146" s="2" t="s">
        <v>667</v>
      </c>
      <c r="E146" s="2" t="s">
        <v>668</v>
      </c>
      <c r="F146" s="2" t="s">
        <v>635</v>
      </c>
      <c r="G146" s="2" t="s">
        <v>635</v>
      </c>
      <c r="H146" s="5" t="n">
        <v>275000</v>
      </c>
      <c r="I146" s="6" t="n">
        <f aca="false">INDEX(SUPPLIERS!$D$3:$D$30,MATCH(C146,SUPPLIERS!$A$3:$A$30,0))</f>
        <v>0</v>
      </c>
      <c r="J146" s="5" t="n">
        <f aca="false">H146*(1-I146)</f>
        <v>275000</v>
      </c>
      <c r="K146" s="2" t="n">
        <v>45</v>
      </c>
      <c r="L146" s="2" t="s">
        <v>518</v>
      </c>
      <c r="M146" s="5" t="n">
        <f aca="false">IF(K146="","",J146/K146)</f>
        <v>6111.11111111111</v>
      </c>
      <c r="N146" s="2" t="n">
        <v>450</v>
      </c>
      <c r="O146" s="13" t="n">
        <v>0.66</v>
      </c>
      <c r="P146" s="2" t="s">
        <v>239</v>
      </c>
      <c r="Q146" s="14" t="n">
        <f aca="false">MAX(N146/DRIVERS!$B$5,O146/DRIVERS!$B$6)</f>
        <v>0.15</v>
      </c>
      <c r="R146" s="15" t="n">
        <f aca="false">ROUNDDOWN(1/Q146,0)</f>
        <v>6</v>
      </c>
      <c r="S146" s="5" t="n">
        <f aca="false">DRIVERS!$B$23*Q146/DRIVERS!$B$24</f>
        <v>778.638874178877</v>
      </c>
      <c r="T146" s="5" t="n">
        <f aca="false">J146*INDEX(DRIVERS!$C$32:$C$42,MATCH(B146,DRIVERS!$A$32:$A$42,0))</f>
        <v>0</v>
      </c>
      <c r="U146" s="5" t="n">
        <f aca="false">J146*INDEX(SUPPLIERS!$E$3:$E$30,MATCH(C146,SUPPLIERS!$A$3:$A$30,0))</f>
        <v>0</v>
      </c>
      <c r="V146" s="5" t="n">
        <v>0</v>
      </c>
      <c r="W146" s="5" t="n">
        <f aca="false">J146+S146+T146+U146+V146</f>
        <v>275778.638874179</v>
      </c>
      <c r="X146" s="9" t="n">
        <f aca="false">W146/J146-1</f>
        <v>0.00283141408792309</v>
      </c>
      <c r="Y146" s="6" t="n">
        <f aca="false">INDEX(DRIVERS!$B$32:$B$42,MATCH(B146,DRIVERS!$A$32:$A$42,0))</f>
        <v>0.15</v>
      </c>
      <c r="Z146" s="5" t="n">
        <f aca="false">W146*(1+Y146)</f>
        <v>317145.434705306</v>
      </c>
      <c r="AA146" s="5" t="n">
        <f aca="false">W146*(1+Y146+DRIVERS!$B$26)*(1+DRIVERS!$B$27)</f>
        <v>370646.490646896</v>
      </c>
      <c r="AB146" s="2" t="s">
        <v>189</v>
      </c>
      <c r="AC146" s="5" t="n">
        <v>275000</v>
      </c>
    </row>
    <row r="147" customFormat="false" ht="15" hidden="false" customHeight="false" outlineLevel="0" collapsed="false">
      <c r="A147" s="2" t="s">
        <v>669</v>
      </c>
      <c r="B147" s="2" t="s">
        <v>650</v>
      </c>
      <c r="C147" s="2" t="s">
        <v>93</v>
      </c>
      <c r="D147" s="2" t="s">
        <v>670</v>
      </c>
      <c r="F147" s="2" t="s">
        <v>635</v>
      </c>
      <c r="G147" s="2" t="s">
        <v>635</v>
      </c>
      <c r="H147" s="5" t="n">
        <v>273000</v>
      </c>
      <c r="I147" s="6" t="n">
        <f aca="false">INDEX(SUPPLIERS!$D$3:$D$30,MATCH(C147,SUPPLIERS!$A$3:$A$30,0))</f>
        <v>0</v>
      </c>
      <c r="J147" s="5" t="n">
        <f aca="false">H147*(1-I147)</f>
        <v>273000</v>
      </c>
      <c r="K147" s="2" t="n">
        <v>45</v>
      </c>
      <c r="L147" s="2" t="s">
        <v>518</v>
      </c>
      <c r="M147" s="5" t="n">
        <f aca="false">IF(K147="","",J147/K147)</f>
        <v>6066.66666666667</v>
      </c>
      <c r="N147" s="2" t="n">
        <v>450</v>
      </c>
      <c r="O147" s="13" t="n">
        <v>0.66</v>
      </c>
      <c r="P147" s="2" t="s">
        <v>239</v>
      </c>
      <c r="Q147" s="14" t="n">
        <f aca="false">MAX(N147/DRIVERS!$B$5,O147/DRIVERS!$B$6)</f>
        <v>0.15</v>
      </c>
      <c r="R147" s="15" t="n">
        <f aca="false">ROUNDDOWN(1/Q147,0)</f>
        <v>6</v>
      </c>
      <c r="S147" s="5" t="n">
        <f aca="false">DRIVERS!$B$23*Q147/DRIVERS!$B$24</f>
        <v>778.638874178877</v>
      </c>
      <c r="T147" s="5" t="n">
        <f aca="false">J147*INDEX(DRIVERS!$C$32:$C$42,MATCH(B147,DRIVERS!$A$32:$A$42,0))</f>
        <v>0</v>
      </c>
      <c r="U147" s="5" t="n">
        <f aca="false">J147*INDEX(SUPPLIERS!$E$3:$E$30,MATCH(C147,SUPPLIERS!$A$3:$A$30,0))</f>
        <v>0</v>
      </c>
      <c r="V147" s="5" t="n">
        <v>0</v>
      </c>
      <c r="W147" s="5" t="n">
        <f aca="false">J147+S147+T147+U147+V147</f>
        <v>273778.638874179</v>
      </c>
      <c r="X147" s="9" t="n">
        <f aca="false">W147/J147-1</f>
        <v>0.00285215704827424</v>
      </c>
      <c r="Y147" s="6" t="n">
        <f aca="false">INDEX(DRIVERS!$B$32:$B$42,MATCH(B147,DRIVERS!$A$32:$A$42,0))</f>
        <v>0.15</v>
      </c>
      <c r="Z147" s="5" t="n">
        <f aca="false">W147*(1+Y147)</f>
        <v>314845.434705306</v>
      </c>
      <c r="AA147" s="5" t="n">
        <f aca="false">W147*(1+Y147+DRIVERS!$B$26)*(1+DRIVERS!$B$27)</f>
        <v>367958.490646896</v>
      </c>
      <c r="AB147" s="2" t="s">
        <v>189</v>
      </c>
      <c r="AC147" s="5" t="n">
        <v>273000</v>
      </c>
    </row>
    <row r="148" customFormat="false" ht="15" hidden="false" customHeight="false" outlineLevel="0" collapsed="false">
      <c r="A148" s="2" t="s">
        <v>671</v>
      </c>
      <c r="B148" s="2" t="s">
        <v>650</v>
      </c>
      <c r="C148" s="2" t="s">
        <v>90</v>
      </c>
      <c r="D148" s="2" t="s">
        <v>672</v>
      </c>
      <c r="E148" s="2" t="s">
        <v>673</v>
      </c>
      <c r="F148" s="2" t="s">
        <v>635</v>
      </c>
      <c r="G148" s="2" t="s">
        <v>635</v>
      </c>
      <c r="H148" s="5" t="n">
        <v>2800000</v>
      </c>
      <c r="I148" s="6" t="n">
        <f aca="false">INDEX(SUPPLIERS!$D$3:$D$30,MATCH(C148,SUPPLIERS!$A$3:$A$30,0))</f>
        <v>0</v>
      </c>
      <c r="J148" s="5" t="n">
        <f aca="false">H148*(1-I148)</f>
        <v>2800000</v>
      </c>
      <c r="K148" s="2" t="n">
        <v>261.2</v>
      </c>
      <c r="L148" s="2" t="s">
        <v>518</v>
      </c>
      <c r="M148" s="5" t="n">
        <f aca="false">IF(K148="","",J148/K148)</f>
        <v>10719.7549770291</v>
      </c>
      <c r="N148" s="2" t="n">
        <v>3350</v>
      </c>
      <c r="O148" s="13" t="n">
        <v>7.056</v>
      </c>
      <c r="P148" s="2" t="s">
        <v>310</v>
      </c>
      <c r="Q148" s="14" t="n">
        <f aca="false">MAX(N148/DRIVERS!$B$5,O148/DRIVERS!$B$6)</f>
        <v>1.11666666666667</v>
      </c>
      <c r="R148" s="15" t="n">
        <f aca="false">ROUNDDOWN(1/Q148,0)</f>
        <v>0</v>
      </c>
      <c r="S148" s="5" t="n">
        <f aca="false">DRIVERS!$B$23*Q148/DRIVERS!$B$24</f>
        <v>5796.53384110942</v>
      </c>
      <c r="T148" s="5" t="n">
        <f aca="false">J148*INDEX(DRIVERS!$C$32:$C$42,MATCH(B148,DRIVERS!$A$32:$A$42,0))</f>
        <v>0</v>
      </c>
      <c r="U148" s="5" t="n">
        <f aca="false">J148*INDEX(SUPPLIERS!$E$3:$E$30,MATCH(C148,SUPPLIERS!$A$3:$A$30,0))</f>
        <v>0</v>
      </c>
      <c r="V148" s="5" t="n">
        <v>0</v>
      </c>
      <c r="W148" s="5" t="n">
        <f aca="false">J148+S148+T148+U148+V148</f>
        <v>2805796.53384111</v>
      </c>
      <c r="X148" s="9" t="n">
        <f aca="false">W148/J148-1</f>
        <v>0.00207019065753911</v>
      </c>
      <c r="Y148" s="6" t="n">
        <f aca="false">INDEX(DRIVERS!$B$32:$B$42,MATCH(B148,DRIVERS!$A$32:$A$42,0))</f>
        <v>0.15</v>
      </c>
      <c r="Z148" s="5" t="n">
        <f aca="false">W148*(1+Y148)</f>
        <v>3226666.01391728</v>
      </c>
      <c r="AA148" s="5" t="n">
        <f aca="false">W148*(1+Y148+DRIVERS!$B$26)*(1+DRIVERS!$B$27)</f>
        <v>3770990.54148245</v>
      </c>
      <c r="AB148" s="2" t="s">
        <v>205</v>
      </c>
      <c r="AC148" s="8"/>
      <c r="AD148" s="2" t="s">
        <v>674</v>
      </c>
    </row>
    <row r="149" customFormat="false" ht="15" hidden="false" customHeight="false" outlineLevel="0" collapsed="false">
      <c r="A149" s="2" t="s">
        <v>675</v>
      </c>
      <c r="B149" s="2" t="s">
        <v>650</v>
      </c>
      <c r="C149" s="2" t="s">
        <v>90</v>
      </c>
      <c r="D149" s="2" t="s">
        <v>676</v>
      </c>
      <c r="E149" s="2" t="s">
        <v>677</v>
      </c>
      <c r="F149" s="2" t="s">
        <v>186</v>
      </c>
      <c r="G149" s="2" t="s">
        <v>186</v>
      </c>
      <c r="H149" s="5" t="n">
        <v>42500</v>
      </c>
      <c r="I149" s="6" t="n">
        <f aca="false">INDEX(SUPPLIERS!$D$3:$D$30,MATCH(C149,SUPPLIERS!$A$3:$A$30,0))</f>
        <v>0</v>
      </c>
      <c r="J149" s="5" t="n">
        <f aca="false">H149*(1-I149)</f>
        <v>42500</v>
      </c>
      <c r="K149" s="2" t="n">
        <v>3.584</v>
      </c>
      <c r="L149" s="2" t="s">
        <v>518</v>
      </c>
      <c r="M149" s="5" t="n">
        <f aca="false">IF(K149="","",J149/K149)</f>
        <v>11858.2589285714</v>
      </c>
      <c r="N149" s="2" t="n">
        <v>41</v>
      </c>
      <c r="O149" s="13" t="n">
        <v>0.12172</v>
      </c>
      <c r="P149" s="2" t="s">
        <v>310</v>
      </c>
      <c r="Q149" s="14" t="n">
        <f aca="false">MAX(N149/DRIVERS!$B$5,O149/DRIVERS!$B$6)</f>
        <v>0.0136666666666667</v>
      </c>
      <c r="R149" s="15" t="n">
        <f aca="false">ROUNDDOWN(1/Q149,0)</f>
        <v>73</v>
      </c>
      <c r="S149" s="5" t="n">
        <f aca="false">DRIVERS!$B$23*Q149/DRIVERS!$B$24</f>
        <v>70.9426529807421</v>
      </c>
      <c r="T149" s="5" t="n">
        <f aca="false">J149*INDEX(DRIVERS!$C$32:$C$42,MATCH(B149,DRIVERS!$A$32:$A$42,0))</f>
        <v>0</v>
      </c>
      <c r="U149" s="5" t="n">
        <f aca="false">J149*INDEX(SUPPLIERS!$E$3:$E$30,MATCH(C149,SUPPLIERS!$A$3:$A$30,0))</f>
        <v>0</v>
      </c>
      <c r="V149" s="5" t="n">
        <v>0</v>
      </c>
      <c r="W149" s="5" t="n">
        <f aca="false">J149+S149+T149+U149+V149</f>
        <v>42570.9426529807</v>
      </c>
      <c r="X149" s="9" t="n">
        <f aca="false">W149/J149-1</f>
        <v>0.00166923889366455</v>
      </c>
      <c r="Y149" s="6" t="n">
        <f aca="false">INDEX(DRIVERS!$B$32:$B$42,MATCH(B149,DRIVERS!$A$32:$A$42,0))</f>
        <v>0.15</v>
      </c>
      <c r="Z149" s="5" t="n">
        <f aca="false">W149*(1+Y149)</f>
        <v>48956.5840509278</v>
      </c>
      <c r="AA149" s="5" t="n">
        <f aca="false">W149*(1+Y149+DRIVERS!$B$26)*(1+DRIVERS!$B$27)</f>
        <v>57215.3469256061</v>
      </c>
      <c r="AB149" s="2" t="s">
        <v>205</v>
      </c>
      <c r="AC149" s="8"/>
    </row>
    <row r="150" customFormat="false" ht="15" hidden="false" customHeight="false" outlineLevel="0" collapsed="false">
      <c r="A150" s="2" t="s">
        <v>678</v>
      </c>
      <c r="B150" s="2" t="s">
        <v>650</v>
      </c>
      <c r="C150" s="2" t="s">
        <v>90</v>
      </c>
      <c r="D150" s="2" t="s">
        <v>679</v>
      </c>
      <c r="E150" s="2" t="s">
        <v>680</v>
      </c>
      <c r="F150" s="2" t="s">
        <v>186</v>
      </c>
      <c r="G150" s="2" t="s">
        <v>186</v>
      </c>
      <c r="H150" s="5" t="n">
        <v>14500</v>
      </c>
      <c r="I150" s="6" t="n">
        <f aca="false">INDEX(SUPPLIERS!$D$3:$D$30,MATCH(C150,SUPPLIERS!$A$3:$A$30,0))</f>
        <v>0</v>
      </c>
      <c r="J150" s="5" t="n">
        <f aca="false">H150*(1-I150)</f>
        <v>14500</v>
      </c>
      <c r="K150" s="2" t="n">
        <v>1.004</v>
      </c>
      <c r="L150" s="2" t="s">
        <v>518</v>
      </c>
      <c r="M150" s="5" t="n">
        <f aca="false">IF(K150="","",J150/K150)</f>
        <v>14442.2310756972</v>
      </c>
      <c r="N150" s="2" t="n">
        <v>10.35</v>
      </c>
      <c r="O150" s="13" t="n">
        <v>0.02208</v>
      </c>
      <c r="P150" s="2" t="s">
        <v>310</v>
      </c>
      <c r="Q150" s="14" t="n">
        <f aca="false">MAX(N150/DRIVERS!$B$5,O150/DRIVERS!$B$6)</f>
        <v>0.00345</v>
      </c>
      <c r="R150" s="15" t="n">
        <f aca="false">ROUNDDOWN(1/Q150,0)</f>
        <v>289</v>
      </c>
      <c r="S150" s="5" t="n">
        <f aca="false">DRIVERS!$B$23*Q150/DRIVERS!$B$24</f>
        <v>17.9086941061142</v>
      </c>
      <c r="T150" s="5" t="n">
        <f aca="false">J150*INDEX(DRIVERS!$C$32:$C$42,MATCH(B150,DRIVERS!$A$32:$A$42,0))</f>
        <v>0</v>
      </c>
      <c r="U150" s="5" t="n">
        <f aca="false">J150*INDEX(SUPPLIERS!$E$3:$E$30,MATCH(C150,SUPPLIERS!$A$3:$A$30,0))</f>
        <v>0</v>
      </c>
      <c r="V150" s="5" t="n">
        <v>0</v>
      </c>
      <c r="W150" s="5" t="n">
        <f aca="false">J150+S150+T150+U150+V150</f>
        <v>14517.9086941061</v>
      </c>
      <c r="X150" s="9" t="n">
        <f aca="false">W150/J150-1</f>
        <v>0.00123508235214587</v>
      </c>
      <c r="Y150" s="6" t="n">
        <f aca="false">INDEX(DRIVERS!$B$32:$B$42,MATCH(B150,DRIVERS!$A$32:$A$42,0))</f>
        <v>0.15</v>
      </c>
      <c r="Z150" s="5" t="n">
        <f aca="false">W150*(1+Y150)</f>
        <v>16695.594998222</v>
      </c>
      <c r="AA150" s="5" t="n">
        <f aca="false">W150*(1+Y150+DRIVERS!$B$26)*(1+DRIVERS!$B$27)</f>
        <v>19512.0692848786</v>
      </c>
      <c r="AB150" s="2" t="s">
        <v>205</v>
      </c>
      <c r="AC150" s="8"/>
    </row>
    <row r="151" customFormat="false" ht="15" hidden="false" customHeight="false" outlineLevel="0" collapsed="false">
      <c r="A151" s="2" t="s">
        <v>58</v>
      </c>
      <c r="B151" s="2" t="s">
        <v>681</v>
      </c>
      <c r="C151" s="2" t="s">
        <v>93</v>
      </c>
      <c r="D151" s="2" t="s">
        <v>682</v>
      </c>
      <c r="E151" s="2" t="s">
        <v>683</v>
      </c>
      <c r="F151" s="2" t="s">
        <v>186</v>
      </c>
      <c r="G151" s="2" t="s">
        <v>186</v>
      </c>
      <c r="H151" s="5" t="n">
        <v>540</v>
      </c>
      <c r="I151" s="6" t="n">
        <f aca="false">INDEX(SUPPLIERS!$D$3:$D$30,MATCH(C151,SUPPLIERS!$A$3:$A$30,0))</f>
        <v>0</v>
      </c>
      <c r="J151" s="5" t="n">
        <f aca="false">H151*(1-I151)</f>
        <v>540</v>
      </c>
      <c r="M151" s="5" t="str">
        <f aca="false">IF(K151="","",J151/K151)</f>
        <v/>
      </c>
      <c r="N151" s="2" t="n">
        <v>2.6</v>
      </c>
      <c r="O151" s="13" t="n">
        <v>0.0048</v>
      </c>
      <c r="P151" s="2" t="s">
        <v>239</v>
      </c>
      <c r="Q151" s="14" t="n">
        <f aca="false">MAX(N151/DRIVERS!$B$5,O151/DRIVERS!$B$6)</f>
        <v>0.000866666666666667</v>
      </c>
      <c r="R151" s="15" t="n">
        <f aca="false">ROUNDDOWN(1/Q151,0)</f>
        <v>1153</v>
      </c>
      <c r="S151" s="5" t="n">
        <f aca="false">DRIVERS!$B$23*Q151/DRIVERS!$B$24</f>
        <v>4.49880238414462</v>
      </c>
      <c r="T151" s="5" t="n">
        <f aca="false">J151*INDEX(DRIVERS!$C$32:$C$42,MATCH(B151,DRIVERS!$A$32:$A$42,0))</f>
        <v>10.8</v>
      </c>
      <c r="U151" s="5" t="n">
        <f aca="false">J151*INDEX(SUPPLIERS!$E$3:$E$30,MATCH(C151,SUPPLIERS!$A$3:$A$30,0))</f>
        <v>0</v>
      </c>
      <c r="V151" s="5" t="n">
        <v>0</v>
      </c>
      <c r="W151" s="5" t="n">
        <f aca="false">J151+S151+T151+U151+V151</f>
        <v>555.298802384145</v>
      </c>
      <c r="X151" s="9" t="n">
        <f aca="false">W151/J151-1</f>
        <v>0.0283311155261936</v>
      </c>
      <c r="Y151" s="6" t="n">
        <f aca="false">INDEX(DRIVERS!$B$32:$B$42,MATCH(B151,DRIVERS!$A$32:$A$42,0))</f>
        <v>0.3</v>
      </c>
      <c r="Z151" s="5" t="n">
        <f aca="false">W151*(1+Y151)</f>
        <v>721.888443099388</v>
      </c>
      <c r="AA151" s="5" t="n">
        <f aca="false">W151*(1+Y151+DRIVERS!$B$26)*(1+DRIVERS!$B$27)</f>
        <v>839.611789204827</v>
      </c>
      <c r="AB151" s="2" t="s">
        <v>189</v>
      </c>
      <c r="AC151" s="5" t="n">
        <v>620</v>
      </c>
    </row>
    <row r="152" customFormat="false" ht="15" hidden="false" customHeight="false" outlineLevel="0" collapsed="false">
      <c r="A152" s="2" t="s">
        <v>684</v>
      </c>
      <c r="B152" s="2" t="s">
        <v>681</v>
      </c>
      <c r="C152" s="2" t="s">
        <v>93</v>
      </c>
      <c r="D152" s="2" t="s">
        <v>685</v>
      </c>
      <c r="E152" s="2" t="s">
        <v>683</v>
      </c>
      <c r="F152" s="2" t="s">
        <v>186</v>
      </c>
      <c r="G152" s="2" t="s">
        <v>186</v>
      </c>
      <c r="H152" s="5" t="n">
        <v>285</v>
      </c>
      <c r="I152" s="6" t="n">
        <f aca="false">INDEX(SUPPLIERS!$D$3:$D$30,MATCH(C152,SUPPLIERS!$A$3:$A$30,0))</f>
        <v>0</v>
      </c>
      <c r="J152" s="5" t="n">
        <f aca="false">H152*(1-I152)</f>
        <v>285</v>
      </c>
      <c r="M152" s="5" t="str">
        <f aca="false">IF(K152="","",J152/K152)</f>
        <v/>
      </c>
      <c r="N152" s="2" t="n">
        <v>1.3</v>
      </c>
      <c r="O152" s="13" t="n">
        <v>0.0024</v>
      </c>
      <c r="P152" s="2" t="s">
        <v>239</v>
      </c>
      <c r="Q152" s="14" t="n">
        <f aca="false">MAX(N152/DRIVERS!$B$5,O152/DRIVERS!$B$6)</f>
        <v>0.000433333333333333</v>
      </c>
      <c r="R152" s="15" t="n">
        <f aca="false">ROUNDDOWN(1/Q152,0)</f>
        <v>2307</v>
      </c>
      <c r="S152" s="5" t="n">
        <f aca="false">DRIVERS!$B$23*Q152/DRIVERS!$B$24</f>
        <v>2.24940119207231</v>
      </c>
      <c r="T152" s="5" t="n">
        <f aca="false">J152*INDEX(DRIVERS!$C$32:$C$42,MATCH(B152,DRIVERS!$A$32:$A$42,0))</f>
        <v>5.7</v>
      </c>
      <c r="U152" s="5" t="n">
        <f aca="false">J152*INDEX(SUPPLIERS!$E$3:$E$30,MATCH(C152,SUPPLIERS!$A$3:$A$30,0))</f>
        <v>0</v>
      </c>
      <c r="V152" s="5" t="n">
        <v>0</v>
      </c>
      <c r="W152" s="5" t="n">
        <f aca="false">J152+S152+T152+U152+V152</f>
        <v>292.949401192072</v>
      </c>
      <c r="X152" s="9" t="n">
        <f aca="false">W152/J152-1</f>
        <v>0.0278926357616571</v>
      </c>
      <c r="Y152" s="6" t="n">
        <f aca="false">INDEX(DRIVERS!$B$32:$B$42,MATCH(B152,DRIVERS!$A$32:$A$42,0))</f>
        <v>0.3</v>
      </c>
      <c r="Z152" s="5" t="n">
        <f aca="false">W152*(1+Y152)</f>
        <v>380.834221549694</v>
      </c>
      <c r="AA152" s="5" t="n">
        <f aca="false">W152*(1+Y152+DRIVERS!$B$26)*(1+DRIVERS!$B$27)</f>
        <v>442.939494602413</v>
      </c>
      <c r="AB152" s="2" t="s">
        <v>189</v>
      </c>
      <c r="AC152" s="5" t="n">
        <v>330</v>
      </c>
    </row>
    <row r="153" customFormat="false" ht="15" hidden="false" customHeight="false" outlineLevel="0" collapsed="false">
      <c r="A153" s="2" t="s">
        <v>60</v>
      </c>
      <c r="B153" s="2" t="s">
        <v>681</v>
      </c>
      <c r="C153" s="2" t="s">
        <v>93</v>
      </c>
      <c r="D153" s="2" t="s">
        <v>686</v>
      </c>
      <c r="F153" s="2" t="s">
        <v>186</v>
      </c>
      <c r="G153" s="2" t="s">
        <v>186</v>
      </c>
      <c r="H153" s="5" t="n">
        <v>39</v>
      </c>
      <c r="I153" s="6" t="n">
        <f aca="false">INDEX(SUPPLIERS!$D$3:$D$30,MATCH(C153,SUPPLIERS!$A$3:$A$30,0))</f>
        <v>0</v>
      </c>
      <c r="J153" s="5" t="n">
        <f aca="false">H153*(1-I153)</f>
        <v>39</v>
      </c>
      <c r="M153" s="5" t="str">
        <f aca="false">IF(K153="","",J153/K153)</f>
        <v/>
      </c>
      <c r="N153" s="2" t="n">
        <v>0.08</v>
      </c>
      <c r="O153" s="13" t="n">
        <v>0.0002</v>
      </c>
      <c r="P153" s="2" t="s">
        <v>239</v>
      </c>
      <c r="Q153" s="14" t="n">
        <f aca="false">MAX(N153/DRIVERS!$B$5,O153/DRIVERS!$B$6)</f>
        <v>2.66666666666667E-005</v>
      </c>
      <c r="R153" s="15" t="n">
        <f aca="false">ROUNDDOWN(1/Q153,0)</f>
        <v>37500</v>
      </c>
      <c r="S153" s="5" t="n">
        <f aca="false">DRIVERS!$B$23*Q153/DRIVERS!$B$24</f>
        <v>0.138424688742911</v>
      </c>
      <c r="T153" s="5" t="n">
        <f aca="false">J153*INDEX(DRIVERS!$C$32:$C$42,MATCH(B153,DRIVERS!$A$32:$A$42,0))</f>
        <v>0.78</v>
      </c>
      <c r="U153" s="5" t="n">
        <f aca="false">J153*INDEX(SUPPLIERS!$E$3:$E$30,MATCH(C153,SUPPLIERS!$A$3:$A$30,0))</f>
        <v>0</v>
      </c>
      <c r="V153" s="5" t="n">
        <v>0</v>
      </c>
      <c r="W153" s="5" t="n">
        <f aca="false">J153+S153+T153+U153+V153</f>
        <v>39.9184246887429</v>
      </c>
      <c r="X153" s="9" t="n">
        <f aca="false">W153/J153-1</f>
        <v>0.0235493509934079</v>
      </c>
      <c r="Y153" s="6" t="n">
        <f aca="false">INDEX(DRIVERS!$B$32:$B$42,MATCH(B153,DRIVERS!$A$32:$A$42,0))</f>
        <v>0.3</v>
      </c>
      <c r="Z153" s="5" t="n">
        <f aca="false">W153*(1+Y153)</f>
        <v>51.8939520953658</v>
      </c>
      <c r="AA153" s="5" t="n">
        <f aca="false">W153*(1+Y153+DRIVERS!$B$26)*(1+DRIVERS!$B$27)</f>
        <v>60.3566581293793</v>
      </c>
      <c r="AB153" s="2" t="s">
        <v>189</v>
      </c>
      <c r="AC153" s="5" t="n">
        <v>40</v>
      </c>
    </row>
    <row r="154" customFormat="false" ht="15" hidden="false" customHeight="false" outlineLevel="0" collapsed="false">
      <c r="A154" s="2" t="s">
        <v>61</v>
      </c>
      <c r="B154" s="2" t="s">
        <v>681</v>
      </c>
      <c r="C154" s="2" t="s">
        <v>93</v>
      </c>
      <c r="D154" s="2" t="s">
        <v>687</v>
      </c>
      <c r="F154" s="2" t="s">
        <v>186</v>
      </c>
      <c r="G154" s="2" t="s">
        <v>186</v>
      </c>
      <c r="H154" s="5" t="n">
        <v>43</v>
      </c>
      <c r="I154" s="6" t="n">
        <f aca="false">INDEX(SUPPLIERS!$D$3:$D$30,MATCH(C154,SUPPLIERS!$A$3:$A$30,0))</f>
        <v>0</v>
      </c>
      <c r="J154" s="5" t="n">
        <f aca="false">H154*(1-I154)</f>
        <v>43</v>
      </c>
      <c r="M154" s="5" t="str">
        <f aca="false">IF(K154="","",J154/K154)</f>
        <v/>
      </c>
      <c r="N154" s="2" t="n">
        <v>0.08</v>
      </c>
      <c r="O154" s="13" t="n">
        <v>0.0002</v>
      </c>
      <c r="P154" s="2" t="s">
        <v>239</v>
      </c>
      <c r="Q154" s="14" t="n">
        <f aca="false">MAX(N154/DRIVERS!$B$5,O154/DRIVERS!$B$6)</f>
        <v>2.66666666666667E-005</v>
      </c>
      <c r="R154" s="15" t="n">
        <f aca="false">ROUNDDOWN(1/Q154,0)</f>
        <v>37500</v>
      </c>
      <c r="S154" s="5" t="n">
        <f aca="false">DRIVERS!$B$23*Q154/DRIVERS!$B$24</f>
        <v>0.138424688742911</v>
      </c>
      <c r="T154" s="5" t="n">
        <f aca="false">J154*INDEX(DRIVERS!$C$32:$C$42,MATCH(B154,DRIVERS!$A$32:$A$42,0))</f>
        <v>0.86</v>
      </c>
      <c r="U154" s="5" t="n">
        <f aca="false">J154*INDEX(SUPPLIERS!$E$3:$E$30,MATCH(C154,SUPPLIERS!$A$3:$A$30,0))</f>
        <v>0</v>
      </c>
      <c r="V154" s="5" t="n">
        <v>0</v>
      </c>
      <c r="W154" s="5" t="n">
        <f aca="false">J154+S154+T154+U154+V154</f>
        <v>43.9984246887429</v>
      </c>
      <c r="X154" s="9" t="n">
        <f aca="false">W154/J154-1</f>
        <v>0.0232191788079745</v>
      </c>
      <c r="Y154" s="6" t="n">
        <f aca="false">INDEX(DRIVERS!$B$32:$B$42,MATCH(B154,DRIVERS!$A$32:$A$42,0))</f>
        <v>0.3</v>
      </c>
      <c r="Z154" s="5" t="n">
        <f aca="false">W154*(1+Y154)</f>
        <v>57.1979520953658</v>
      </c>
      <c r="AA154" s="5" t="n">
        <f aca="false">W154*(1+Y154+DRIVERS!$B$26)*(1+DRIVERS!$B$27)</f>
        <v>66.5256181293793</v>
      </c>
      <c r="AB154" s="2" t="s">
        <v>189</v>
      </c>
      <c r="AC154" s="5" t="n">
        <v>42</v>
      </c>
    </row>
    <row r="155" customFormat="false" ht="15" hidden="false" customHeight="false" outlineLevel="0" collapsed="false">
      <c r="A155" s="2" t="s">
        <v>62</v>
      </c>
      <c r="B155" s="2" t="s">
        <v>681</v>
      </c>
      <c r="C155" s="2" t="s">
        <v>93</v>
      </c>
      <c r="D155" s="2" t="s">
        <v>688</v>
      </c>
      <c r="F155" s="2" t="s">
        <v>186</v>
      </c>
      <c r="G155" s="2" t="s">
        <v>186</v>
      </c>
      <c r="H155" s="5" t="n">
        <v>60</v>
      </c>
      <c r="I155" s="6" t="n">
        <f aca="false">INDEX(SUPPLIERS!$D$3:$D$30,MATCH(C155,SUPPLIERS!$A$3:$A$30,0))</f>
        <v>0</v>
      </c>
      <c r="J155" s="5" t="n">
        <f aca="false">H155*(1-I155)</f>
        <v>60</v>
      </c>
      <c r="M155" s="5" t="str">
        <f aca="false">IF(K155="","",J155/K155)</f>
        <v/>
      </c>
      <c r="N155" s="2" t="n">
        <v>0.15</v>
      </c>
      <c r="O155" s="13" t="n">
        <v>0.0003</v>
      </c>
      <c r="P155" s="2" t="s">
        <v>239</v>
      </c>
      <c r="Q155" s="14" t="n">
        <f aca="false">MAX(N155/DRIVERS!$B$5,O155/DRIVERS!$B$6)</f>
        <v>5E-005</v>
      </c>
      <c r="R155" s="15" t="n">
        <f aca="false">ROUNDDOWN(1/Q155,0)</f>
        <v>20000</v>
      </c>
      <c r="S155" s="5" t="n">
        <f aca="false">DRIVERS!$B$23*Q155/DRIVERS!$B$24</f>
        <v>0.259546291392959</v>
      </c>
      <c r="T155" s="5" t="n">
        <f aca="false">J155*INDEX(DRIVERS!$C$32:$C$42,MATCH(B155,DRIVERS!$A$32:$A$42,0))</f>
        <v>1.2</v>
      </c>
      <c r="U155" s="5" t="n">
        <f aca="false">J155*INDEX(SUPPLIERS!$E$3:$E$30,MATCH(C155,SUPPLIERS!$A$3:$A$30,0))</f>
        <v>0</v>
      </c>
      <c r="V155" s="5" t="n">
        <v>0</v>
      </c>
      <c r="W155" s="5" t="n">
        <f aca="false">J155+S155+T155+U155+V155</f>
        <v>61.459546291393</v>
      </c>
      <c r="X155" s="9" t="n">
        <f aca="false">W155/J155-1</f>
        <v>0.0243257715232159</v>
      </c>
      <c r="Y155" s="6" t="n">
        <f aca="false">INDEX(DRIVERS!$B$32:$B$42,MATCH(B155,DRIVERS!$A$32:$A$42,0))</f>
        <v>0.3</v>
      </c>
      <c r="Z155" s="5" t="n">
        <f aca="false">W155*(1+Y155)</f>
        <v>79.8974101788109</v>
      </c>
      <c r="AA155" s="5" t="n">
        <f aca="false">W155*(1+Y155+DRIVERS!$B$26)*(1+DRIVERS!$B$27)</f>
        <v>92.9268339925862</v>
      </c>
      <c r="AB155" s="2" t="s">
        <v>189</v>
      </c>
      <c r="AC155" s="5" t="n">
        <v>50</v>
      </c>
    </row>
    <row r="156" customFormat="false" ht="15" hidden="false" customHeight="false" outlineLevel="0" collapsed="false">
      <c r="A156" s="2" t="s">
        <v>59</v>
      </c>
      <c r="B156" s="2" t="s">
        <v>681</v>
      </c>
      <c r="C156" s="2" t="s">
        <v>93</v>
      </c>
      <c r="D156" s="2" t="s">
        <v>689</v>
      </c>
      <c r="F156" s="2" t="s">
        <v>186</v>
      </c>
      <c r="G156" s="2" t="s">
        <v>186</v>
      </c>
      <c r="H156" s="5" t="n">
        <v>70</v>
      </c>
      <c r="I156" s="6" t="n">
        <f aca="false">INDEX(SUPPLIERS!$D$3:$D$30,MATCH(C156,SUPPLIERS!$A$3:$A$30,0))</f>
        <v>0</v>
      </c>
      <c r="J156" s="5" t="n">
        <f aca="false">H156*(1-I156)</f>
        <v>70</v>
      </c>
      <c r="M156" s="5" t="str">
        <f aca="false">IF(K156="","",J156/K156)</f>
        <v/>
      </c>
      <c r="N156" s="2" t="n">
        <v>0.15</v>
      </c>
      <c r="O156" s="13" t="n">
        <v>0.0003</v>
      </c>
      <c r="P156" s="2" t="s">
        <v>239</v>
      </c>
      <c r="Q156" s="14" t="n">
        <f aca="false">MAX(N156/DRIVERS!$B$5,O156/DRIVERS!$B$6)</f>
        <v>5E-005</v>
      </c>
      <c r="R156" s="15" t="n">
        <f aca="false">ROUNDDOWN(1/Q156,0)</f>
        <v>20000</v>
      </c>
      <c r="S156" s="5" t="n">
        <f aca="false">DRIVERS!$B$23*Q156/DRIVERS!$B$24</f>
        <v>0.259546291392959</v>
      </c>
      <c r="T156" s="5" t="n">
        <f aca="false">J156*INDEX(DRIVERS!$C$32:$C$42,MATCH(B156,DRIVERS!$A$32:$A$42,0))</f>
        <v>1.4</v>
      </c>
      <c r="U156" s="5" t="n">
        <f aca="false">J156*INDEX(SUPPLIERS!$E$3:$E$30,MATCH(C156,SUPPLIERS!$A$3:$A$30,0))</f>
        <v>0</v>
      </c>
      <c r="V156" s="5" t="n">
        <v>0</v>
      </c>
      <c r="W156" s="5" t="n">
        <f aca="false">J156+S156+T156+U156+V156</f>
        <v>71.659546291393</v>
      </c>
      <c r="X156" s="9" t="n">
        <f aca="false">W156/J156-1</f>
        <v>0.0237078041627568</v>
      </c>
      <c r="Y156" s="6" t="n">
        <f aca="false">INDEX(DRIVERS!$B$32:$B$42,MATCH(B156,DRIVERS!$A$32:$A$42,0))</f>
        <v>0.3</v>
      </c>
      <c r="Z156" s="5" t="n">
        <f aca="false">W156*(1+Y156)</f>
        <v>93.1574101788109</v>
      </c>
      <c r="AA156" s="5" t="n">
        <f aca="false">W156*(1+Y156+DRIVERS!$B$26)*(1+DRIVERS!$B$27)</f>
        <v>108.349233992586</v>
      </c>
      <c r="AB156" s="2" t="s">
        <v>189</v>
      </c>
      <c r="AC156" s="5" t="n">
        <v>62</v>
      </c>
    </row>
    <row r="157" customFormat="false" ht="15" hidden="false" customHeight="false" outlineLevel="0" collapsed="false">
      <c r="A157" s="2" t="s">
        <v>690</v>
      </c>
      <c r="B157" s="2" t="s">
        <v>681</v>
      </c>
      <c r="C157" s="2" t="s">
        <v>90</v>
      </c>
      <c r="D157" s="2" t="s">
        <v>691</v>
      </c>
      <c r="F157" s="2" t="s">
        <v>186</v>
      </c>
      <c r="G157" s="2" t="s">
        <v>186</v>
      </c>
      <c r="H157" s="5" t="n">
        <v>1</v>
      </c>
      <c r="I157" s="6" t="n">
        <f aca="false">INDEX(SUPPLIERS!$D$3:$D$30,MATCH(C157,SUPPLIERS!$A$3:$A$30,0))</f>
        <v>0</v>
      </c>
      <c r="J157" s="5" t="n">
        <f aca="false">H157*(1-I157)</f>
        <v>1</v>
      </c>
      <c r="M157" s="5" t="str">
        <f aca="false">IF(K157="","",J157/K157)</f>
        <v/>
      </c>
      <c r="N157" s="2" t="n">
        <v>0.01</v>
      </c>
      <c r="O157" s="13" t="n">
        <v>2E-005</v>
      </c>
      <c r="P157" s="2" t="s">
        <v>239</v>
      </c>
      <c r="Q157" s="14" t="n">
        <f aca="false">MAX(N157/DRIVERS!$B$5,O157/DRIVERS!$B$6)</f>
        <v>3.33333333333333E-006</v>
      </c>
      <c r="R157" s="15" t="n">
        <f aca="false">ROUNDDOWN(1/Q157,0)</f>
        <v>300000</v>
      </c>
      <c r="S157" s="5" t="n">
        <f aca="false">DRIVERS!$B$23*Q157/DRIVERS!$B$24</f>
        <v>0.0173030860928639</v>
      </c>
      <c r="T157" s="5" t="n">
        <f aca="false">J157*INDEX(DRIVERS!$C$32:$C$42,MATCH(B157,DRIVERS!$A$32:$A$42,0))</f>
        <v>0.02</v>
      </c>
      <c r="U157" s="5" t="n">
        <f aca="false">J157*INDEX(SUPPLIERS!$E$3:$E$30,MATCH(C157,SUPPLIERS!$A$3:$A$30,0))</f>
        <v>0</v>
      </c>
      <c r="V157" s="5" t="n">
        <v>0</v>
      </c>
      <c r="W157" s="5" t="n">
        <f aca="false">J157+S157+T157+U157+V157</f>
        <v>1.03730308609286</v>
      </c>
      <c r="X157" s="9" t="n">
        <f aca="false">W157/J157-1</f>
        <v>0.037303086092864</v>
      </c>
      <c r="Y157" s="6" t="n">
        <f aca="false">INDEX(DRIVERS!$B$32:$B$42,MATCH(B157,DRIVERS!$A$32:$A$42,0))</f>
        <v>0.3</v>
      </c>
      <c r="Z157" s="5" t="n">
        <f aca="false">W157*(1+Y157)</f>
        <v>1.34849401192072</v>
      </c>
      <c r="AA157" s="5" t="n">
        <f aca="false">W157*(1+Y157+DRIVERS!$B$26)*(1+DRIVERS!$B$27)</f>
        <v>1.56840226617241</v>
      </c>
      <c r="AB157" s="2" t="s">
        <v>205</v>
      </c>
      <c r="AC157" s="8"/>
      <c r="AD157" s="2" t="s">
        <v>692</v>
      </c>
    </row>
    <row r="158" customFormat="false" ht="15" hidden="false" customHeight="false" outlineLevel="0" collapsed="false">
      <c r="A158" s="2" t="s">
        <v>693</v>
      </c>
      <c r="B158" s="2" t="s">
        <v>681</v>
      </c>
      <c r="C158" s="2" t="s">
        <v>90</v>
      </c>
      <c r="D158" s="2" t="s">
        <v>694</v>
      </c>
      <c r="E158" s="2" t="s">
        <v>695</v>
      </c>
      <c r="F158" s="2" t="s">
        <v>635</v>
      </c>
      <c r="G158" s="2" t="s">
        <v>635</v>
      </c>
      <c r="H158" s="5" t="n">
        <v>40</v>
      </c>
      <c r="I158" s="6" t="n">
        <f aca="false">INDEX(SUPPLIERS!$D$3:$D$30,MATCH(C158,SUPPLIERS!$A$3:$A$30,0))</f>
        <v>0</v>
      </c>
      <c r="J158" s="5" t="n">
        <f aca="false">H158*(1-I158)</f>
        <v>40</v>
      </c>
      <c r="M158" s="5" t="str">
        <f aca="false">IF(K158="","",J158/K158)</f>
        <v/>
      </c>
      <c r="N158" s="2" t="n">
        <v>0.06</v>
      </c>
      <c r="O158" s="13" t="n">
        <v>0.0001</v>
      </c>
      <c r="P158" s="2" t="s">
        <v>696</v>
      </c>
      <c r="Q158" s="14" t="n">
        <f aca="false">MAX(N158/DRIVERS!$B$5,O158/DRIVERS!$B$6)</f>
        <v>2E-005</v>
      </c>
      <c r="R158" s="15" t="n">
        <f aca="false">ROUNDDOWN(1/Q158,0)</f>
        <v>50000</v>
      </c>
      <c r="S158" s="5" t="n">
        <f aca="false">DRIVERS!$B$23*Q158/DRIVERS!$B$24</f>
        <v>0.103818516557184</v>
      </c>
      <c r="T158" s="5" t="n">
        <f aca="false">J158*INDEX(DRIVERS!$C$32:$C$42,MATCH(B158,DRIVERS!$A$32:$A$42,0))</f>
        <v>0.8</v>
      </c>
      <c r="U158" s="5" t="n">
        <f aca="false">J158*INDEX(SUPPLIERS!$E$3:$E$30,MATCH(C158,SUPPLIERS!$A$3:$A$30,0))</f>
        <v>0</v>
      </c>
      <c r="V158" s="5" t="n">
        <v>0</v>
      </c>
      <c r="W158" s="5" t="n">
        <f aca="false">J158+S158+T158+U158+V158</f>
        <v>40.9038185165572</v>
      </c>
      <c r="X158" s="9" t="n">
        <f aca="false">W158/J158-1</f>
        <v>0.0225954629139296</v>
      </c>
      <c r="Y158" s="6" t="n">
        <f aca="false">INDEX(DRIVERS!$B$32:$B$42,MATCH(B158,DRIVERS!$A$32:$A$42,0))</f>
        <v>0.3</v>
      </c>
      <c r="Z158" s="5" t="n">
        <f aca="false">W158*(1+Y158)</f>
        <v>53.1749640715243</v>
      </c>
      <c r="AA158" s="5" t="n">
        <f aca="false">W158*(1+Y158+DRIVERS!$B$26)*(1+DRIVERS!$B$27)</f>
        <v>61.8465735970345</v>
      </c>
      <c r="AB158" s="2" t="s">
        <v>205</v>
      </c>
      <c r="AC158" s="8"/>
    </row>
    <row r="159" customFormat="false" ht="15" hidden="false" customHeight="false" outlineLevel="0" collapsed="false">
      <c r="A159" s="2" t="s">
        <v>697</v>
      </c>
      <c r="B159" s="2" t="s">
        <v>681</v>
      </c>
      <c r="C159" s="2" t="s">
        <v>90</v>
      </c>
      <c r="D159" s="2" t="s">
        <v>698</v>
      </c>
      <c r="E159" s="2" t="s">
        <v>695</v>
      </c>
      <c r="F159" s="2" t="s">
        <v>635</v>
      </c>
      <c r="G159" s="2" t="s">
        <v>635</v>
      </c>
      <c r="H159" s="5" t="n">
        <v>40</v>
      </c>
      <c r="I159" s="6" t="n">
        <f aca="false">INDEX(SUPPLIERS!$D$3:$D$30,MATCH(C159,SUPPLIERS!$A$3:$A$30,0))</f>
        <v>0</v>
      </c>
      <c r="J159" s="5" t="n">
        <f aca="false">H159*(1-I159)</f>
        <v>40</v>
      </c>
      <c r="M159" s="5" t="str">
        <f aca="false">IF(K159="","",J159/K159)</f>
        <v/>
      </c>
      <c r="N159" s="2" t="n">
        <v>0.06</v>
      </c>
      <c r="O159" s="13" t="n">
        <v>0.00029</v>
      </c>
      <c r="P159" s="2" t="s">
        <v>699</v>
      </c>
      <c r="Q159" s="14" t="n">
        <f aca="false">MAX(N159/DRIVERS!$B$5,O159/DRIVERS!$B$6)</f>
        <v>2.0316455632411E-005</v>
      </c>
      <c r="R159" s="15" t="n">
        <f aca="false">ROUNDDOWN(1/Q159,0)</f>
        <v>49221</v>
      </c>
      <c r="S159" s="5" t="n">
        <f aca="false">DRIVERS!$B$23*Q159/DRIVERS!$B$24</f>
        <v>0.105461214272837</v>
      </c>
      <c r="T159" s="5" t="n">
        <f aca="false">J159*INDEX(DRIVERS!$C$32:$C$42,MATCH(B159,DRIVERS!$A$32:$A$42,0))</f>
        <v>0.8</v>
      </c>
      <c r="U159" s="5" t="n">
        <f aca="false">J159*INDEX(SUPPLIERS!$E$3:$E$30,MATCH(C159,SUPPLIERS!$A$3:$A$30,0))</f>
        <v>0</v>
      </c>
      <c r="V159" s="5" t="n">
        <v>0</v>
      </c>
      <c r="W159" s="5" t="n">
        <f aca="false">J159+S159+T159+U159+V159</f>
        <v>40.9054612142728</v>
      </c>
      <c r="X159" s="9" t="n">
        <f aca="false">W159/J159-1</f>
        <v>0.0226365303568208</v>
      </c>
      <c r="Y159" s="6" t="n">
        <f aca="false">INDEX(DRIVERS!$B$32:$B$42,MATCH(B159,DRIVERS!$A$32:$A$42,0))</f>
        <v>0.3</v>
      </c>
      <c r="Z159" s="5" t="n">
        <f aca="false">W159*(1+Y159)</f>
        <v>53.1770995785547</v>
      </c>
      <c r="AA159" s="5" t="n">
        <f aca="false">W159*(1+Y159+DRIVERS!$B$26)*(1+DRIVERS!$B$27)</f>
        <v>61.8490573559805</v>
      </c>
      <c r="AB159" s="2" t="s">
        <v>205</v>
      </c>
      <c r="AC159" s="8"/>
    </row>
    <row r="160" customFormat="false" ht="15" hidden="false" customHeight="false" outlineLevel="0" collapsed="false">
      <c r="A160" s="2" t="s">
        <v>700</v>
      </c>
      <c r="B160" s="2" t="s">
        <v>681</v>
      </c>
      <c r="C160" s="2" t="s">
        <v>90</v>
      </c>
      <c r="D160" s="2" t="s">
        <v>701</v>
      </c>
      <c r="E160" s="2" t="s">
        <v>695</v>
      </c>
      <c r="F160" s="2" t="s">
        <v>635</v>
      </c>
      <c r="G160" s="2" t="s">
        <v>635</v>
      </c>
      <c r="H160" s="5" t="n">
        <v>50</v>
      </c>
      <c r="I160" s="6" t="n">
        <f aca="false">INDEX(SUPPLIERS!$D$3:$D$30,MATCH(C160,SUPPLIERS!$A$3:$A$30,0))</f>
        <v>0</v>
      </c>
      <c r="J160" s="5" t="n">
        <f aca="false">H160*(1-I160)</f>
        <v>50</v>
      </c>
      <c r="M160" s="5" t="str">
        <f aca="false">IF(K160="","",J160/K160)</f>
        <v/>
      </c>
      <c r="N160" s="2" t="n">
        <v>0.065</v>
      </c>
      <c r="O160" s="13" t="n">
        <v>7E-005</v>
      </c>
      <c r="P160" s="2" t="s">
        <v>699</v>
      </c>
      <c r="Q160" s="14" t="n">
        <f aca="false">MAX(N160/DRIVERS!$B$5,O160/DRIVERS!$B$6)</f>
        <v>2.16666666666667E-005</v>
      </c>
      <c r="R160" s="15" t="n">
        <f aca="false">ROUNDDOWN(1/Q160,0)</f>
        <v>46153</v>
      </c>
      <c r="S160" s="5" t="n">
        <f aca="false">DRIVERS!$B$23*Q160/DRIVERS!$B$24</f>
        <v>0.112470059603616</v>
      </c>
      <c r="T160" s="5" t="n">
        <f aca="false">J160*INDEX(DRIVERS!$C$32:$C$42,MATCH(B160,DRIVERS!$A$32:$A$42,0))</f>
        <v>1</v>
      </c>
      <c r="U160" s="5" t="n">
        <f aca="false">J160*INDEX(SUPPLIERS!$E$3:$E$30,MATCH(C160,SUPPLIERS!$A$3:$A$30,0))</f>
        <v>0</v>
      </c>
      <c r="V160" s="5" t="n">
        <v>0</v>
      </c>
      <c r="W160" s="5" t="n">
        <f aca="false">J160+S160+T160+U160+V160</f>
        <v>51.1124700596036</v>
      </c>
      <c r="X160" s="9" t="n">
        <f aca="false">W160/J160-1</f>
        <v>0.0222494011920724</v>
      </c>
      <c r="Y160" s="6" t="n">
        <f aca="false">INDEX(DRIVERS!$B$32:$B$42,MATCH(B160,DRIVERS!$A$32:$A$42,0))</f>
        <v>0.3</v>
      </c>
      <c r="Z160" s="5" t="n">
        <f aca="false">W160*(1+Y160)</f>
        <v>66.4462110774847</v>
      </c>
      <c r="AA160" s="5" t="n">
        <f aca="false">W160*(1+Y160+DRIVERS!$B$26)*(1+DRIVERS!$B$27)</f>
        <v>77.2820547301207</v>
      </c>
      <c r="AB160" s="2" t="s">
        <v>205</v>
      </c>
      <c r="AC160" s="8"/>
    </row>
    <row r="161" customFormat="false" ht="15" hidden="false" customHeight="false" outlineLevel="0" collapsed="false">
      <c r="A161" s="2" t="s">
        <v>702</v>
      </c>
      <c r="B161" s="2" t="s">
        <v>681</v>
      </c>
      <c r="C161" s="2" t="s">
        <v>90</v>
      </c>
      <c r="D161" s="2" t="s">
        <v>703</v>
      </c>
      <c r="E161" s="2" t="s">
        <v>695</v>
      </c>
      <c r="F161" s="2" t="s">
        <v>635</v>
      </c>
      <c r="G161" s="2" t="s">
        <v>635</v>
      </c>
      <c r="H161" s="5" t="n">
        <v>50</v>
      </c>
      <c r="I161" s="6" t="n">
        <f aca="false">INDEX(SUPPLIERS!$D$3:$D$30,MATCH(C161,SUPPLIERS!$A$3:$A$30,0))</f>
        <v>0</v>
      </c>
      <c r="J161" s="5" t="n">
        <f aca="false">H161*(1-I161)</f>
        <v>50</v>
      </c>
      <c r="M161" s="5" t="str">
        <f aca="false">IF(K161="","",J161/K161)</f>
        <v/>
      </c>
      <c r="N161" s="2" t="n">
        <v>0.065</v>
      </c>
      <c r="O161" s="13" t="n">
        <v>0.0001</v>
      </c>
      <c r="P161" s="2" t="s">
        <v>704</v>
      </c>
      <c r="Q161" s="14" t="n">
        <f aca="false">MAX(N161/DRIVERS!$B$5,O161/DRIVERS!$B$6)</f>
        <v>2.16666666666667E-005</v>
      </c>
      <c r="R161" s="15" t="n">
        <f aca="false">ROUNDDOWN(1/Q161,0)</f>
        <v>46153</v>
      </c>
      <c r="S161" s="5" t="n">
        <f aca="false">DRIVERS!$B$23*Q161/DRIVERS!$B$24</f>
        <v>0.112470059603616</v>
      </c>
      <c r="T161" s="5" t="n">
        <f aca="false">J161*INDEX(DRIVERS!$C$32:$C$42,MATCH(B161,DRIVERS!$A$32:$A$42,0))</f>
        <v>1</v>
      </c>
      <c r="U161" s="5" t="n">
        <f aca="false">J161*INDEX(SUPPLIERS!$E$3:$E$30,MATCH(C161,SUPPLIERS!$A$3:$A$30,0))</f>
        <v>0</v>
      </c>
      <c r="V161" s="5" t="n">
        <v>0</v>
      </c>
      <c r="W161" s="5" t="n">
        <f aca="false">J161+S161+T161+U161+V161</f>
        <v>51.1124700596036</v>
      </c>
      <c r="X161" s="9" t="n">
        <f aca="false">W161/J161-1</f>
        <v>0.0222494011920724</v>
      </c>
      <c r="Y161" s="6" t="n">
        <f aca="false">INDEX(DRIVERS!$B$32:$B$42,MATCH(B161,DRIVERS!$A$32:$A$42,0))</f>
        <v>0.3</v>
      </c>
      <c r="Z161" s="5" t="n">
        <f aca="false">W161*(1+Y161)</f>
        <v>66.4462110774847</v>
      </c>
      <c r="AA161" s="5" t="n">
        <f aca="false">W161*(1+Y161+DRIVERS!$B$26)*(1+DRIVERS!$B$27)</f>
        <v>77.2820547301207</v>
      </c>
      <c r="AB161" s="2" t="s">
        <v>205</v>
      </c>
      <c r="AC161" s="8"/>
    </row>
    <row r="162" customFormat="false" ht="15" hidden="false" customHeight="false" outlineLevel="0" collapsed="false">
      <c r="A162" s="2" t="s">
        <v>705</v>
      </c>
      <c r="B162" s="2" t="s">
        <v>681</v>
      </c>
      <c r="C162" s="2" t="s">
        <v>90</v>
      </c>
      <c r="D162" s="2" t="s">
        <v>706</v>
      </c>
      <c r="E162" s="2" t="s">
        <v>707</v>
      </c>
      <c r="F162" s="2" t="s">
        <v>635</v>
      </c>
      <c r="G162" s="2" t="s">
        <v>635</v>
      </c>
      <c r="H162" s="5" t="n">
        <v>60</v>
      </c>
      <c r="I162" s="6" t="n">
        <f aca="false">INDEX(SUPPLIERS!$D$3:$D$30,MATCH(C162,SUPPLIERS!$A$3:$A$30,0))</f>
        <v>0</v>
      </c>
      <c r="J162" s="5" t="n">
        <f aca="false">H162*(1-I162)</f>
        <v>60</v>
      </c>
      <c r="M162" s="5" t="str">
        <f aca="false">IF(K162="","",J162/K162)</f>
        <v/>
      </c>
      <c r="N162" s="2" t="n">
        <v>0.1</v>
      </c>
      <c r="O162" s="13" t="n">
        <v>5E-005</v>
      </c>
      <c r="P162" s="2" t="s">
        <v>708</v>
      </c>
      <c r="Q162" s="14" t="n">
        <f aca="false">MAX(N162/DRIVERS!$B$5,O162/DRIVERS!$B$6)</f>
        <v>3.33333333333333E-005</v>
      </c>
      <c r="R162" s="15" t="n">
        <f aca="false">ROUNDDOWN(1/Q162,0)</f>
        <v>30000</v>
      </c>
      <c r="S162" s="5" t="n">
        <f aca="false">DRIVERS!$B$23*Q162/DRIVERS!$B$24</f>
        <v>0.173030860928639</v>
      </c>
      <c r="T162" s="5" t="n">
        <f aca="false">J162*INDEX(DRIVERS!$C$32:$C$42,MATCH(B162,DRIVERS!$A$32:$A$42,0))</f>
        <v>1.2</v>
      </c>
      <c r="U162" s="5" t="n">
        <f aca="false">J162*INDEX(SUPPLIERS!$E$3:$E$30,MATCH(C162,SUPPLIERS!$A$3:$A$30,0))</f>
        <v>0</v>
      </c>
      <c r="V162" s="5" t="n">
        <v>0</v>
      </c>
      <c r="W162" s="5" t="n">
        <f aca="false">J162+S162+T162+U162+V162</f>
        <v>61.3730308609286</v>
      </c>
      <c r="X162" s="9" t="n">
        <f aca="false">W162/J162-1</f>
        <v>0.022883847682144</v>
      </c>
      <c r="Y162" s="6" t="n">
        <f aca="false">INDEX(DRIVERS!$B$32:$B$42,MATCH(B162,DRIVERS!$A$32:$A$42,0))</f>
        <v>0.3</v>
      </c>
      <c r="Z162" s="5" t="n">
        <f aca="false">W162*(1+Y162)</f>
        <v>79.7849401192072</v>
      </c>
      <c r="AA162" s="5" t="n">
        <f aca="false">W162*(1+Y162+DRIVERS!$B$26)*(1+DRIVERS!$B$27)</f>
        <v>92.7960226617241</v>
      </c>
      <c r="AB162" s="2" t="s">
        <v>205</v>
      </c>
      <c r="AC162" s="8"/>
    </row>
    <row r="163" customFormat="false" ht="15" hidden="false" customHeight="false" outlineLevel="0" collapsed="false">
      <c r="A163" s="2" t="s">
        <v>709</v>
      </c>
      <c r="B163" s="2" t="s">
        <v>681</v>
      </c>
      <c r="C163" s="2" t="s">
        <v>90</v>
      </c>
      <c r="D163" s="2" t="s">
        <v>710</v>
      </c>
      <c r="F163" s="2" t="s">
        <v>635</v>
      </c>
      <c r="G163" s="2" t="s">
        <v>635</v>
      </c>
      <c r="H163" s="5" t="n">
        <v>70</v>
      </c>
      <c r="I163" s="6" t="n">
        <f aca="false">INDEX(SUPPLIERS!$D$3:$D$30,MATCH(C163,SUPPLIERS!$A$3:$A$30,0))</f>
        <v>0</v>
      </c>
      <c r="J163" s="5" t="n">
        <f aca="false">H163*(1-I163)</f>
        <v>70</v>
      </c>
      <c r="M163" s="5" t="str">
        <f aca="false">IF(K163="","",J163/K163)</f>
        <v/>
      </c>
      <c r="N163" s="2" t="n">
        <v>0.2</v>
      </c>
      <c r="O163" s="13" t="n">
        <v>0.00048</v>
      </c>
      <c r="P163" s="2" t="s">
        <v>699</v>
      </c>
      <c r="Q163" s="14" t="n">
        <f aca="false">MAX(N163/DRIVERS!$B$5,O163/DRIVERS!$B$6)</f>
        <v>6.66666666666667E-005</v>
      </c>
      <c r="R163" s="15" t="n">
        <f aca="false">ROUNDDOWN(1/Q163,0)</f>
        <v>15000</v>
      </c>
      <c r="S163" s="5" t="n">
        <f aca="false">DRIVERS!$B$23*Q163/DRIVERS!$B$24</f>
        <v>0.346061721857279</v>
      </c>
      <c r="T163" s="5" t="n">
        <f aca="false">J163*INDEX(DRIVERS!$C$32:$C$42,MATCH(B163,DRIVERS!$A$32:$A$42,0))</f>
        <v>1.4</v>
      </c>
      <c r="U163" s="5" t="n">
        <f aca="false">J163*INDEX(SUPPLIERS!$E$3:$E$30,MATCH(C163,SUPPLIERS!$A$3:$A$30,0))</f>
        <v>0</v>
      </c>
      <c r="V163" s="5" t="n">
        <v>0</v>
      </c>
      <c r="W163" s="5" t="n">
        <f aca="false">J163+S163+T163+U163+V163</f>
        <v>71.7460617218573</v>
      </c>
      <c r="X163" s="9" t="n">
        <f aca="false">W163/J163-1</f>
        <v>0.0249437388836755</v>
      </c>
      <c r="Y163" s="6" t="n">
        <f aca="false">INDEX(DRIVERS!$B$32:$B$42,MATCH(B163,DRIVERS!$A$32:$A$42,0))</f>
        <v>0.3</v>
      </c>
      <c r="Z163" s="5" t="n">
        <f aca="false">W163*(1+Y163)</f>
        <v>93.2698802384145</v>
      </c>
      <c r="AA163" s="5" t="n">
        <f aca="false">W163*(1+Y163+DRIVERS!$B$26)*(1+DRIVERS!$B$27)</f>
        <v>108.480045323448</v>
      </c>
      <c r="AB163" s="2" t="s">
        <v>205</v>
      </c>
      <c r="AC163" s="8"/>
    </row>
    <row r="164" customFormat="false" ht="15" hidden="false" customHeight="false" outlineLevel="0" collapsed="false">
      <c r="A164" s="2" t="s">
        <v>711</v>
      </c>
      <c r="B164" s="2" t="s">
        <v>681</v>
      </c>
      <c r="C164" s="2" t="s">
        <v>90</v>
      </c>
      <c r="D164" s="2" t="s">
        <v>712</v>
      </c>
      <c r="E164" s="2" t="s">
        <v>707</v>
      </c>
      <c r="F164" s="2" t="s">
        <v>635</v>
      </c>
      <c r="G164" s="2" t="s">
        <v>635</v>
      </c>
      <c r="H164" s="5" t="n">
        <v>70</v>
      </c>
      <c r="I164" s="6" t="n">
        <f aca="false">INDEX(SUPPLIERS!$D$3:$D$30,MATCH(C164,SUPPLIERS!$A$3:$A$30,0))</f>
        <v>0</v>
      </c>
      <c r="J164" s="5" t="n">
        <f aca="false">H164*(1-I164)</f>
        <v>70</v>
      </c>
      <c r="M164" s="5" t="str">
        <f aca="false">IF(K164="","",J164/K164)</f>
        <v/>
      </c>
      <c r="N164" s="2" t="n">
        <v>0.19</v>
      </c>
      <c r="O164" s="13" t="n">
        <v>0.00015</v>
      </c>
      <c r="P164" s="2" t="s">
        <v>699</v>
      </c>
      <c r="Q164" s="14" t="n">
        <f aca="false">MAX(N164/DRIVERS!$B$5,O164/DRIVERS!$B$6)</f>
        <v>6.33333333333333E-005</v>
      </c>
      <c r="R164" s="15" t="n">
        <f aca="false">ROUNDDOWN(1/Q164,0)</f>
        <v>15789</v>
      </c>
      <c r="S164" s="5" t="n">
        <f aca="false">DRIVERS!$B$23*Q164/DRIVERS!$B$24</f>
        <v>0.328758635764415</v>
      </c>
      <c r="T164" s="5" t="n">
        <f aca="false">J164*INDEX(DRIVERS!$C$32:$C$42,MATCH(B164,DRIVERS!$A$32:$A$42,0))</f>
        <v>1.4</v>
      </c>
      <c r="U164" s="5" t="n">
        <f aca="false">J164*INDEX(SUPPLIERS!$E$3:$E$30,MATCH(C164,SUPPLIERS!$A$3:$A$30,0))</f>
        <v>0</v>
      </c>
      <c r="V164" s="5" t="n">
        <v>0</v>
      </c>
      <c r="W164" s="5" t="n">
        <f aca="false">J164+S164+T164+U164+V164</f>
        <v>71.7287586357644</v>
      </c>
      <c r="X164" s="9" t="n">
        <f aca="false">W164/J164-1</f>
        <v>0.0246965519394917</v>
      </c>
      <c r="Y164" s="6" t="n">
        <f aca="false">INDEX(DRIVERS!$B$32:$B$42,MATCH(B164,DRIVERS!$A$32:$A$42,0))</f>
        <v>0.3</v>
      </c>
      <c r="Z164" s="5" t="n">
        <f aca="false">W164*(1+Y164)</f>
        <v>93.2473862264938</v>
      </c>
      <c r="AA164" s="5" t="n">
        <f aca="false">W164*(1+Y164+DRIVERS!$B$26)*(1+DRIVERS!$B$27)</f>
        <v>108.453883057276</v>
      </c>
      <c r="AB164" s="2" t="s">
        <v>205</v>
      </c>
      <c r="AC164" s="8"/>
    </row>
    <row r="165" customFormat="false" ht="15" hidden="false" customHeight="false" outlineLevel="0" collapsed="false">
      <c r="A165" s="2" t="s">
        <v>713</v>
      </c>
      <c r="B165" s="2" t="s">
        <v>681</v>
      </c>
      <c r="C165" s="2" t="s">
        <v>90</v>
      </c>
      <c r="D165" s="2" t="s">
        <v>714</v>
      </c>
      <c r="F165" s="2" t="s">
        <v>635</v>
      </c>
      <c r="G165" s="2" t="s">
        <v>635</v>
      </c>
      <c r="H165" s="5" t="n">
        <v>110</v>
      </c>
      <c r="I165" s="6" t="n">
        <f aca="false">INDEX(SUPPLIERS!$D$3:$D$30,MATCH(C165,SUPPLIERS!$A$3:$A$30,0))</f>
        <v>0</v>
      </c>
      <c r="J165" s="5" t="n">
        <f aca="false">H165*(1-I165)</f>
        <v>110</v>
      </c>
      <c r="M165" s="5" t="str">
        <f aca="false">IF(K165="","",J165/K165)</f>
        <v/>
      </c>
      <c r="N165" s="2" t="n">
        <v>0.47</v>
      </c>
      <c r="O165" s="13" t="n">
        <v>0.00023</v>
      </c>
      <c r="P165" s="2" t="s">
        <v>699</v>
      </c>
      <c r="Q165" s="14" t="n">
        <f aca="false">MAX(N165/DRIVERS!$B$5,O165/DRIVERS!$B$6)</f>
        <v>0.000156666666666667</v>
      </c>
      <c r="R165" s="15" t="n">
        <f aca="false">ROUNDDOWN(1/Q165,0)</f>
        <v>6382</v>
      </c>
      <c r="S165" s="5" t="n">
        <f aca="false">DRIVERS!$B$23*Q165/DRIVERS!$B$24</f>
        <v>0.813245046364605</v>
      </c>
      <c r="T165" s="5" t="n">
        <f aca="false">J165*INDEX(DRIVERS!$C$32:$C$42,MATCH(B165,DRIVERS!$A$32:$A$42,0))</f>
        <v>2.2</v>
      </c>
      <c r="U165" s="5" t="n">
        <f aca="false">J165*INDEX(SUPPLIERS!$E$3:$E$30,MATCH(C165,SUPPLIERS!$A$3:$A$30,0))</f>
        <v>0</v>
      </c>
      <c r="V165" s="5" t="n">
        <v>0</v>
      </c>
      <c r="W165" s="5" t="n">
        <f aca="false">J165+S165+T165+U165+V165</f>
        <v>113.013245046365</v>
      </c>
      <c r="X165" s="9" t="n">
        <f aca="false">W165/J165-1</f>
        <v>0.0273931367851328</v>
      </c>
      <c r="Y165" s="6" t="n">
        <f aca="false">INDEX(DRIVERS!$B$32:$B$42,MATCH(B165,DRIVERS!$A$32:$A$42,0))</f>
        <v>0.3</v>
      </c>
      <c r="Z165" s="5" t="n">
        <f aca="false">W165*(1+Y165)</f>
        <v>146.917218560274</v>
      </c>
      <c r="AA165" s="5" t="n">
        <f aca="false">W165*(1+Y165+DRIVERS!$B$26)*(1+DRIVERS!$B$27)</f>
        <v>170.876026510103</v>
      </c>
      <c r="AB165" s="2" t="s">
        <v>205</v>
      </c>
      <c r="AC165" s="8"/>
    </row>
    <row r="166" customFormat="false" ht="15" hidden="false" customHeight="false" outlineLevel="0" collapsed="false">
      <c r="A166" s="2" t="s">
        <v>715</v>
      </c>
      <c r="B166" s="2" t="s">
        <v>681</v>
      </c>
      <c r="C166" s="2" t="s">
        <v>90</v>
      </c>
      <c r="D166" s="2" t="s">
        <v>716</v>
      </c>
      <c r="E166" s="2" t="s">
        <v>717</v>
      </c>
      <c r="F166" s="2" t="s">
        <v>635</v>
      </c>
      <c r="G166" s="2" t="s">
        <v>635</v>
      </c>
      <c r="H166" s="5" t="n">
        <v>110</v>
      </c>
      <c r="I166" s="6" t="n">
        <f aca="false">INDEX(SUPPLIERS!$D$3:$D$30,MATCH(C166,SUPPLIERS!$A$3:$A$30,0))</f>
        <v>0</v>
      </c>
      <c r="J166" s="5" t="n">
        <f aca="false">H166*(1-I166)</f>
        <v>110</v>
      </c>
      <c r="M166" s="5" t="str">
        <f aca="false">IF(K166="","",J166/K166)</f>
        <v/>
      </c>
      <c r="N166" s="2" t="n">
        <v>0.4</v>
      </c>
      <c r="O166" s="13" t="n">
        <v>0.00101</v>
      </c>
      <c r="P166" s="2" t="s">
        <v>699</v>
      </c>
      <c r="Q166" s="14" t="n">
        <f aca="false">MAX(N166/DRIVERS!$B$5,O166/DRIVERS!$B$6)</f>
        <v>0.000133333333333333</v>
      </c>
      <c r="R166" s="15" t="n">
        <f aca="false">ROUNDDOWN(1/Q166,0)</f>
        <v>7500</v>
      </c>
      <c r="S166" s="5" t="n">
        <f aca="false">DRIVERS!$B$23*Q166/DRIVERS!$B$24</f>
        <v>0.692123443714557</v>
      </c>
      <c r="T166" s="5" t="n">
        <f aca="false">J166*INDEX(DRIVERS!$C$32:$C$42,MATCH(B166,DRIVERS!$A$32:$A$42,0))</f>
        <v>2.2</v>
      </c>
      <c r="U166" s="5" t="n">
        <f aca="false">J166*INDEX(SUPPLIERS!$E$3:$E$30,MATCH(C166,SUPPLIERS!$A$3:$A$30,0))</f>
        <v>0</v>
      </c>
      <c r="V166" s="5" t="n">
        <v>0</v>
      </c>
      <c r="W166" s="5" t="n">
        <f aca="false">J166+S166+T166+U166+V166</f>
        <v>112.892123443715</v>
      </c>
      <c r="X166" s="9" t="n">
        <f aca="false">W166/J166-1</f>
        <v>0.026292031306496</v>
      </c>
      <c r="Y166" s="6" t="n">
        <f aca="false">INDEX(DRIVERS!$B$32:$B$42,MATCH(B166,DRIVERS!$A$32:$A$42,0))</f>
        <v>0.3</v>
      </c>
      <c r="Z166" s="5" t="n">
        <f aca="false">W166*(1+Y166)</f>
        <v>146.759760476829</v>
      </c>
      <c r="AA166" s="5" t="n">
        <f aca="false">W166*(1+Y166+DRIVERS!$B$26)*(1+DRIVERS!$B$27)</f>
        <v>170.692890646896</v>
      </c>
      <c r="AB166" s="2" t="s">
        <v>205</v>
      </c>
      <c r="AC166" s="8"/>
    </row>
    <row r="167" customFormat="false" ht="15" hidden="false" customHeight="false" outlineLevel="0" collapsed="false">
      <c r="A167" s="2" t="s">
        <v>718</v>
      </c>
      <c r="B167" s="2" t="s">
        <v>681</v>
      </c>
      <c r="C167" s="2" t="s">
        <v>90</v>
      </c>
      <c r="D167" s="2" t="s">
        <v>719</v>
      </c>
      <c r="E167" s="2" t="s">
        <v>720</v>
      </c>
      <c r="F167" s="2" t="s">
        <v>186</v>
      </c>
      <c r="G167" s="2" t="s">
        <v>186</v>
      </c>
      <c r="H167" s="5" t="n">
        <v>650</v>
      </c>
      <c r="I167" s="6" t="n">
        <f aca="false">INDEX(SUPPLIERS!$D$3:$D$30,MATCH(C167,SUPPLIERS!$A$3:$A$30,0))</f>
        <v>0</v>
      </c>
      <c r="J167" s="5" t="n">
        <f aca="false">H167*(1-I167)</f>
        <v>650</v>
      </c>
      <c r="M167" s="5" t="str">
        <f aca="false">IF(K167="","",J167/K167)</f>
        <v/>
      </c>
      <c r="N167" s="2" t="n">
        <v>2.75</v>
      </c>
      <c r="O167" s="13" t="n">
        <v>0.00544</v>
      </c>
      <c r="P167" s="2" t="s">
        <v>699</v>
      </c>
      <c r="Q167" s="14" t="n">
        <f aca="false">MAX(N167/DRIVERS!$B$5,O167/DRIVERS!$B$6)</f>
        <v>0.000916666666666667</v>
      </c>
      <c r="R167" s="15" t="n">
        <f aca="false">ROUNDDOWN(1/Q167,0)</f>
        <v>1090</v>
      </c>
      <c r="S167" s="5" t="n">
        <f aca="false">DRIVERS!$B$23*Q167/DRIVERS!$B$24</f>
        <v>4.75834867553758</v>
      </c>
      <c r="T167" s="5" t="n">
        <f aca="false">J167*INDEX(DRIVERS!$C$32:$C$42,MATCH(B167,DRIVERS!$A$32:$A$42,0))</f>
        <v>13</v>
      </c>
      <c r="U167" s="5" t="n">
        <f aca="false">J167*INDEX(SUPPLIERS!$E$3:$E$30,MATCH(C167,SUPPLIERS!$A$3:$A$30,0))</f>
        <v>0</v>
      </c>
      <c r="V167" s="5" t="n">
        <v>0</v>
      </c>
      <c r="W167" s="5" t="n">
        <f aca="false">J167+S167+T167+U167+V167</f>
        <v>667.758348675538</v>
      </c>
      <c r="X167" s="9" t="n">
        <f aca="false">W167/J167-1</f>
        <v>0.027320536423904</v>
      </c>
      <c r="Y167" s="6" t="n">
        <f aca="false">INDEX(DRIVERS!$B$32:$B$42,MATCH(B167,DRIVERS!$A$32:$A$42,0))</f>
        <v>0.3</v>
      </c>
      <c r="Z167" s="5" t="n">
        <f aca="false">W167*(1+Y167)</f>
        <v>868.085853278199</v>
      </c>
      <c r="AA167" s="5" t="n">
        <f aca="false">W167*(1+Y167+DRIVERS!$B$26)*(1+DRIVERS!$B$27)</f>
        <v>1009.65062319741</v>
      </c>
      <c r="AB167" s="2" t="s">
        <v>205</v>
      </c>
      <c r="AC167" s="8"/>
    </row>
    <row r="168" customFormat="false" ht="15" hidden="false" customHeight="false" outlineLevel="0" collapsed="false">
      <c r="A168" s="2" t="s">
        <v>721</v>
      </c>
      <c r="B168" s="2" t="s">
        <v>681</v>
      </c>
      <c r="C168" s="2" t="s">
        <v>90</v>
      </c>
      <c r="D168" s="2" t="s">
        <v>722</v>
      </c>
      <c r="E168" s="2" t="s">
        <v>720</v>
      </c>
      <c r="F168" s="2" t="s">
        <v>186</v>
      </c>
      <c r="G168" s="2" t="s">
        <v>186</v>
      </c>
      <c r="H168" s="5" t="n">
        <v>850</v>
      </c>
      <c r="I168" s="6" t="n">
        <f aca="false">INDEX(SUPPLIERS!$D$3:$D$30,MATCH(C168,SUPPLIERS!$A$3:$A$30,0))</f>
        <v>0</v>
      </c>
      <c r="J168" s="5" t="n">
        <f aca="false">H168*(1-I168)</f>
        <v>850</v>
      </c>
      <c r="M168" s="5" t="str">
        <f aca="false">IF(K168="","",J168/K168)</f>
        <v/>
      </c>
      <c r="N168" s="2" t="n">
        <v>2</v>
      </c>
      <c r="O168" s="13" t="n">
        <v>0.00759</v>
      </c>
      <c r="P168" s="2" t="s">
        <v>699</v>
      </c>
      <c r="Q168" s="14" t="n">
        <f aca="false">MAX(N168/DRIVERS!$B$5,O168/DRIVERS!$B$6)</f>
        <v>0.000666666666666667</v>
      </c>
      <c r="R168" s="15" t="n">
        <f aca="false">ROUNDDOWN(1/Q168,0)</f>
        <v>1500</v>
      </c>
      <c r="S168" s="5" t="n">
        <f aca="false">DRIVERS!$B$23*Q168/DRIVERS!$B$24</f>
        <v>3.46061721857279</v>
      </c>
      <c r="T168" s="5" t="n">
        <f aca="false">J168*INDEX(DRIVERS!$C$32:$C$42,MATCH(B168,DRIVERS!$A$32:$A$42,0))</f>
        <v>17</v>
      </c>
      <c r="U168" s="5" t="n">
        <f aca="false">J168*INDEX(SUPPLIERS!$E$3:$E$30,MATCH(C168,SUPPLIERS!$A$3:$A$30,0))</f>
        <v>0</v>
      </c>
      <c r="V168" s="5" t="n">
        <v>0</v>
      </c>
      <c r="W168" s="5" t="n">
        <f aca="false">J168+S168+T168+U168+V168</f>
        <v>870.460617218573</v>
      </c>
      <c r="X168" s="9" t="n">
        <f aca="false">W168/J168-1</f>
        <v>0.0240713143747915</v>
      </c>
      <c r="Y168" s="6" t="n">
        <f aca="false">INDEX(DRIVERS!$B$32:$B$42,MATCH(B168,DRIVERS!$A$32:$A$42,0))</f>
        <v>0.3</v>
      </c>
      <c r="Z168" s="5" t="n">
        <f aca="false">W168*(1+Y168)</f>
        <v>1131.59880238414</v>
      </c>
      <c r="AA168" s="5" t="n">
        <f aca="false">W168*(1+Y168+DRIVERS!$B$26)*(1+DRIVERS!$B$27)</f>
        <v>1316.13645323448</v>
      </c>
      <c r="AB168" s="2" t="s">
        <v>205</v>
      </c>
      <c r="AC168" s="8"/>
    </row>
    <row r="169" customFormat="false" ht="15" hidden="false" customHeight="false" outlineLevel="0" collapsed="false">
      <c r="A169" s="2" t="s">
        <v>723</v>
      </c>
      <c r="B169" s="2" t="s">
        <v>681</v>
      </c>
      <c r="C169" s="2" t="s">
        <v>90</v>
      </c>
      <c r="D169" s="2" t="s">
        <v>724</v>
      </c>
      <c r="E169" s="2" t="s">
        <v>725</v>
      </c>
      <c r="F169" s="2" t="s">
        <v>186</v>
      </c>
      <c r="G169" s="2" t="s">
        <v>186</v>
      </c>
      <c r="H169" s="5" t="n">
        <v>1000</v>
      </c>
      <c r="I169" s="6" t="n">
        <f aca="false">INDEX(SUPPLIERS!$D$3:$D$30,MATCH(C169,SUPPLIERS!$A$3:$A$30,0))</f>
        <v>0</v>
      </c>
      <c r="J169" s="5" t="n">
        <f aca="false">H169*(1-I169)</f>
        <v>1000</v>
      </c>
      <c r="M169" s="5" t="str">
        <f aca="false">IF(K169="","",J169/K169)</f>
        <v/>
      </c>
      <c r="N169" s="2" t="n">
        <v>3.6</v>
      </c>
      <c r="O169" s="13" t="n">
        <v>0.00634</v>
      </c>
      <c r="P169" s="2" t="s">
        <v>699</v>
      </c>
      <c r="Q169" s="14" t="n">
        <f aca="false">MAX(N169/DRIVERS!$B$5,O169/DRIVERS!$B$6)</f>
        <v>0.0012</v>
      </c>
      <c r="R169" s="15" t="n">
        <f aca="false">ROUNDDOWN(1/Q169,0)</f>
        <v>833</v>
      </c>
      <c r="S169" s="5" t="n">
        <f aca="false">DRIVERS!$B$23*Q169/DRIVERS!$B$24</f>
        <v>6.22911099343102</v>
      </c>
      <c r="T169" s="5" t="n">
        <f aca="false">J169*INDEX(DRIVERS!$C$32:$C$42,MATCH(B169,DRIVERS!$A$32:$A$42,0))</f>
        <v>20</v>
      </c>
      <c r="U169" s="5" t="n">
        <f aca="false">J169*INDEX(SUPPLIERS!$E$3:$E$30,MATCH(C169,SUPPLIERS!$A$3:$A$30,0))</f>
        <v>0</v>
      </c>
      <c r="V169" s="5" t="n">
        <v>0</v>
      </c>
      <c r="W169" s="5" t="n">
        <f aca="false">J169+S169+T169+U169+V169</f>
        <v>1026.22911099343</v>
      </c>
      <c r="X169" s="9" t="n">
        <f aca="false">W169/J169-1</f>
        <v>0.026229110993431</v>
      </c>
      <c r="Y169" s="6" t="n">
        <f aca="false">INDEX(DRIVERS!$B$32:$B$42,MATCH(B169,DRIVERS!$A$32:$A$42,0))</f>
        <v>0.3</v>
      </c>
      <c r="Z169" s="5" t="n">
        <f aca="false">W169*(1+Y169)</f>
        <v>1334.09784429146</v>
      </c>
      <c r="AA169" s="5" t="n">
        <f aca="false">W169*(1+Y169+DRIVERS!$B$26)*(1+DRIVERS!$B$27)</f>
        <v>1551.65841582207</v>
      </c>
      <c r="AB169" s="2" t="s">
        <v>205</v>
      </c>
      <c r="AC169" s="8"/>
    </row>
    <row r="170" customFormat="false" ht="15" hidden="false" customHeight="false" outlineLevel="0" collapsed="false">
      <c r="A170" s="2" t="s">
        <v>726</v>
      </c>
      <c r="B170" s="2" t="s">
        <v>681</v>
      </c>
      <c r="C170" s="2" t="s">
        <v>90</v>
      </c>
      <c r="D170" s="2" t="s">
        <v>727</v>
      </c>
      <c r="E170" s="2" t="s">
        <v>725</v>
      </c>
      <c r="F170" s="2" t="s">
        <v>186</v>
      </c>
      <c r="G170" s="2" t="s">
        <v>186</v>
      </c>
      <c r="H170" s="5" t="n">
        <v>1200</v>
      </c>
      <c r="I170" s="6" t="n">
        <f aca="false">INDEX(SUPPLIERS!$D$3:$D$30,MATCH(C170,SUPPLIERS!$A$3:$A$30,0))</f>
        <v>0</v>
      </c>
      <c r="J170" s="5" t="n">
        <f aca="false">H170*(1-I170)</f>
        <v>1200</v>
      </c>
      <c r="M170" s="5" t="str">
        <f aca="false">IF(K170="","",J170/K170)</f>
        <v/>
      </c>
      <c r="N170" s="2" t="n">
        <v>2.8</v>
      </c>
      <c r="O170" s="13" t="n">
        <v>0.00882</v>
      </c>
      <c r="P170" s="2" t="s">
        <v>699</v>
      </c>
      <c r="Q170" s="14" t="n">
        <f aca="false">MAX(N170/DRIVERS!$B$5,O170/DRIVERS!$B$6)</f>
        <v>0.000933333333333333</v>
      </c>
      <c r="R170" s="15" t="n">
        <f aca="false">ROUNDDOWN(1/Q170,0)</f>
        <v>1071</v>
      </c>
      <c r="S170" s="5" t="n">
        <f aca="false">DRIVERS!$B$23*Q170/DRIVERS!$B$24</f>
        <v>4.8448641060019</v>
      </c>
      <c r="T170" s="5" t="n">
        <f aca="false">J170*INDEX(DRIVERS!$C$32:$C$42,MATCH(B170,DRIVERS!$A$32:$A$42,0))</f>
        <v>24</v>
      </c>
      <c r="U170" s="5" t="n">
        <f aca="false">J170*INDEX(SUPPLIERS!$E$3:$E$30,MATCH(C170,SUPPLIERS!$A$3:$A$30,0))</f>
        <v>0</v>
      </c>
      <c r="V170" s="5" t="n">
        <v>0</v>
      </c>
      <c r="W170" s="5" t="n">
        <f aca="false">J170+S170+T170+U170+V170</f>
        <v>1228.844864106</v>
      </c>
      <c r="X170" s="9" t="n">
        <f aca="false">W170/J170-1</f>
        <v>0.0240373867550017</v>
      </c>
      <c r="Y170" s="6" t="n">
        <f aca="false">INDEX(DRIVERS!$B$32:$B$42,MATCH(B170,DRIVERS!$A$32:$A$42,0))</f>
        <v>0.3</v>
      </c>
      <c r="Z170" s="5" t="n">
        <f aca="false">W170*(1+Y170)</f>
        <v>1597.4983233378</v>
      </c>
      <c r="AA170" s="5" t="n">
        <f aca="false">W170*(1+Y170+DRIVERS!$B$26)*(1+DRIVERS!$B$27)</f>
        <v>1858.01343452828</v>
      </c>
      <c r="AB170" s="2" t="s">
        <v>205</v>
      </c>
      <c r="AC170" s="8"/>
    </row>
    <row r="171" customFormat="false" ht="15" hidden="false" customHeight="false" outlineLevel="0" collapsed="false">
      <c r="A171" s="2" t="s">
        <v>728</v>
      </c>
      <c r="B171" s="2" t="s">
        <v>681</v>
      </c>
      <c r="C171" s="2" t="s">
        <v>92</v>
      </c>
      <c r="D171" s="2" t="s">
        <v>729</v>
      </c>
      <c r="E171" s="2" t="s">
        <v>730</v>
      </c>
      <c r="F171" s="2" t="s">
        <v>186</v>
      </c>
      <c r="G171" s="2" t="s">
        <v>186</v>
      </c>
      <c r="H171" s="5" t="n">
        <v>50</v>
      </c>
      <c r="I171" s="6" t="n">
        <f aca="false">INDEX(SUPPLIERS!$D$3:$D$30,MATCH(C171,SUPPLIERS!$A$3:$A$30,0))</f>
        <v>0</v>
      </c>
      <c r="J171" s="5" t="n">
        <f aca="false">H171*(1-I171)</f>
        <v>50</v>
      </c>
      <c r="M171" s="5" t="str">
        <f aca="false">IF(K171="","",J171/K171)</f>
        <v/>
      </c>
      <c r="N171" s="2" t="n">
        <v>0.06</v>
      </c>
      <c r="O171" s="13" t="n">
        <v>7E-005</v>
      </c>
      <c r="P171" s="2" t="s">
        <v>699</v>
      </c>
      <c r="Q171" s="14" t="n">
        <f aca="false">MAX(N171/DRIVERS!$B$5,O171/DRIVERS!$B$6)</f>
        <v>2E-005</v>
      </c>
      <c r="R171" s="15" t="n">
        <f aca="false">ROUNDDOWN(1/Q171,0)</f>
        <v>50000</v>
      </c>
      <c r="S171" s="5" t="n">
        <f aca="false">DRIVERS!$B$23*Q171/DRIVERS!$B$24</f>
        <v>0.103818516557184</v>
      </c>
      <c r="T171" s="5" t="n">
        <f aca="false">J171*INDEX(DRIVERS!$C$32:$C$42,MATCH(B171,DRIVERS!$A$32:$A$42,0))</f>
        <v>1</v>
      </c>
      <c r="U171" s="5" t="n">
        <f aca="false">J171*INDEX(SUPPLIERS!$E$3:$E$30,MATCH(C171,SUPPLIERS!$A$3:$A$30,0))</f>
        <v>0</v>
      </c>
      <c r="V171" s="5" t="n">
        <v>0</v>
      </c>
      <c r="W171" s="5" t="n">
        <f aca="false">J171+S171+T171+U171+V171</f>
        <v>51.1038185165572</v>
      </c>
      <c r="X171" s="9" t="n">
        <f aca="false">W171/J171-1</f>
        <v>0.0220763703311437</v>
      </c>
      <c r="Y171" s="6" t="n">
        <f aca="false">INDEX(DRIVERS!$B$32:$B$42,MATCH(B171,DRIVERS!$A$32:$A$42,0))</f>
        <v>0.3</v>
      </c>
      <c r="Z171" s="5" t="n">
        <f aca="false">W171*(1+Y171)</f>
        <v>66.4349640715243</v>
      </c>
      <c r="AA171" s="5" t="n">
        <f aca="false">W171*(1+Y171+DRIVERS!$B$26)*(1+DRIVERS!$B$27)</f>
        <v>77.2689735970345</v>
      </c>
      <c r="AB171" s="2" t="s">
        <v>218</v>
      </c>
      <c r="AC171" s="8"/>
    </row>
    <row r="172" customFormat="false" ht="15" hidden="false" customHeight="false" outlineLevel="0" collapsed="false">
      <c r="A172" s="2" t="s">
        <v>731</v>
      </c>
      <c r="B172" s="2" t="s">
        <v>681</v>
      </c>
      <c r="C172" s="2" t="s">
        <v>92</v>
      </c>
      <c r="D172" s="2" t="s">
        <v>732</v>
      </c>
      <c r="E172" s="2" t="s">
        <v>733</v>
      </c>
      <c r="F172" s="2" t="s">
        <v>186</v>
      </c>
      <c r="G172" s="2" t="s">
        <v>186</v>
      </c>
      <c r="H172" s="5" t="n">
        <v>50</v>
      </c>
      <c r="I172" s="6" t="n">
        <f aca="false">INDEX(SUPPLIERS!$D$3:$D$30,MATCH(C172,SUPPLIERS!$A$3:$A$30,0))</f>
        <v>0</v>
      </c>
      <c r="J172" s="5" t="n">
        <f aca="false">H172*(1-I172)</f>
        <v>50</v>
      </c>
      <c r="M172" s="5" t="str">
        <f aca="false">IF(K172="","",J172/K172)</f>
        <v/>
      </c>
      <c r="N172" s="2" t="n">
        <v>0.065</v>
      </c>
      <c r="O172" s="13" t="n">
        <v>7E-005</v>
      </c>
      <c r="P172" s="2" t="s">
        <v>699</v>
      </c>
      <c r="Q172" s="14" t="n">
        <f aca="false">MAX(N172/DRIVERS!$B$5,O172/DRIVERS!$B$6)</f>
        <v>2.16666666666667E-005</v>
      </c>
      <c r="R172" s="15" t="n">
        <f aca="false">ROUNDDOWN(1/Q172,0)</f>
        <v>46153</v>
      </c>
      <c r="S172" s="5" t="n">
        <f aca="false">DRIVERS!$B$23*Q172/DRIVERS!$B$24</f>
        <v>0.112470059603616</v>
      </c>
      <c r="T172" s="5" t="n">
        <f aca="false">J172*INDEX(DRIVERS!$C$32:$C$42,MATCH(B172,DRIVERS!$A$32:$A$42,0))</f>
        <v>1</v>
      </c>
      <c r="U172" s="5" t="n">
        <f aca="false">J172*INDEX(SUPPLIERS!$E$3:$E$30,MATCH(C172,SUPPLIERS!$A$3:$A$30,0))</f>
        <v>0</v>
      </c>
      <c r="V172" s="5" t="n">
        <v>0</v>
      </c>
      <c r="W172" s="5" t="n">
        <f aca="false">J172+S172+T172+U172+V172</f>
        <v>51.1124700596036</v>
      </c>
      <c r="X172" s="9" t="n">
        <f aca="false">W172/J172-1</f>
        <v>0.0222494011920724</v>
      </c>
      <c r="Y172" s="6" t="n">
        <f aca="false">INDEX(DRIVERS!$B$32:$B$42,MATCH(B172,DRIVERS!$A$32:$A$42,0))</f>
        <v>0.3</v>
      </c>
      <c r="Z172" s="5" t="n">
        <f aca="false">W172*(1+Y172)</f>
        <v>66.4462110774847</v>
      </c>
      <c r="AA172" s="5" t="n">
        <f aca="false">W172*(1+Y172+DRIVERS!$B$26)*(1+DRIVERS!$B$27)</f>
        <v>77.2820547301207</v>
      </c>
      <c r="AB172" s="2" t="s">
        <v>218</v>
      </c>
      <c r="AC172" s="8"/>
    </row>
    <row r="173" customFormat="false" ht="15" hidden="false" customHeight="false" outlineLevel="0" collapsed="false">
      <c r="A173" s="2" t="s">
        <v>734</v>
      </c>
      <c r="B173" s="2" t="s">
        <v>681</v>
      </c>
      <c r="C173" s="2" t="s">
        <v>92</v>
      </c>
      <c r="D173" s="2" t="s">
        <v>735</v>
      </c>
      <c r="E173" s="2" t="s">
        <v>733</v>
      </c>
      <c r="F173" s="2" t="s">
        <v>186</v>
      </c>
      <c r="G173" s="2" t="s">
        <v>186</v>
      </c>
      <c r="H173" s="5" t="n">
        <v>70</v>
      </c>
      <c r="I173" s="6" t="n">
        <f aca="false">INDEX(SUPPLIERS!$D$3:$D$30,MATCH(C173,SUPPLIERS!$A$3:$A$30,0))</f>
        <v>0</v>
      </c>
      <c r="J173" s="5" t="n">
        <f aca="false">H173*(1-I173)</f>
        <v>70</v>
      </c>
      <c r="M173" s="5" t="str">
        <f aca="false">IF(K173="","",J173/K173)</f>
        <v/>
      </c>
      <c r="N173" s="2" t="n">
        <v>0.11</v>
      </c>
      <c r="O173" s="13" t="n">
        <v>3E-005</v>
      </c>
      <c r="P173" s="2" t="s">
        <v>736</v>
      </c>
      <c r="Q173" s="14" t="n">
        <f aca="false">MAX(N173/DRIVERS!$B$5,O173/DRIVERS!$B$6)</f>
        <v>3.66666666666667E-005</v>
      </c>
      <c r="R173" s="15" t="n">
        <f aca="false">ROUNDDOWN(1/Q173,0)</f>
        <v>27272</v>
      </c>
      <c r="S173" s="5" t="n">
        <f aca="false">DRIVERS!$B$23*Q173/DRIVERS!$B$24</f>
        <v>0.190333947021503</v>
      </c>
      <c r="T173" s="5" t="n">
        <f aca="false">J173*INDEX(DRIVERS!$C$32:$C$42,MATCH(B173,DRIVERS!$A$32:$A$42,0))</f>
        <v>1.4</v>
      </c>
      <c r="U173" s="5" t="n">
        <f aca="false">J173*INDEX(SUPPLIERS!$E$3:$E$30,MATCH(C173,SUPPLIERS!$A$3:$A$30,0))</f>
        <v>0</v>
      </c>
      <c r="V173" s="5" t="n">
        <v>0</v>
      </c>
      <c r="W173" s="5" t="n">
        <f aca="false">J173+S173+T173+U173+V173</f>
        <v>71.5903339470215</v>
      </c>
      <c r="X173" s="9" t="n">
        <f aca="false">W173/J173-1</f>
        <v>0.0227190563860216</v>
      </c>
      <c r="Y173" s="6" t="n">
        <f aca="false">INDEX(DRIVERS!$B$32:$B$42,MATCH(B173,DRIVERS!$A$32:$A$42,0))</f>
        <v>0.3</v>
      </c>
      <c r="Z173" s="5" t="n">
        <f aca="false">W173*(1+Y173)</f>
        <v>93.067434131128</v>
      </c>
      <c r="AA173" s="5" t="n">
        <f aca="false">W173*(1+Y173+DRIVERS!$B$26)*(1+DRIVERS!$B$27)</f>
        <v>108.244584927897</v>
      </c>
      <c r="AB173" s="2" t="s">
        <v>218</v>
      </c>
      <c r="AC173" s="8"/>
    </row>
    <row r="174" customFormat="false" ht="15" hidden="false" customHeight="false" outlineLevel="0" collapsed="false">
      <c r="A174" s="2" t="s">
        <v>737</v>
      </c>
      <c r="B174" s="2" t="s">
        <v>681</v>
      </c>
      <c r="C174" s="2" t="s">
        <v>92</v>
      </c>
      <c r="D174" s="2" t="s">
        <v>738</v>
      </c>
      <c r="E174" s="2" t="s">
        <v>733</v>
      </c>
      <c r="F174" s="2" t="s">
        <v>186</v>
      </c>
      <c r="G174" s="2" t="s">
        <v>186</v>
      </c>
      <c r="H174" s="5" t="n">
        <v>80</v>
      </c>
      <c r="I174" s="6" t="n">
        <f aca="false">INDEX(SUPPLIERS!$D$3:$D$30,MATCH(C174,SUPPLIERS!$A$3:$A$30,0))</f>
        <v>0</v>
      </c>
      <c r="J174" s="5" t="n">
        <f aca="false">H174*(1-I174)</f>
        <v>80</v>
      </c>
      <c r="M174" s="5" t="str">
        <f aca="false">IF(K174="","",J174/K174)</f>
        <v/>
      </c>
      <c r="N174" s="2" t="n">
        <v>0.15</v>
      </c>
      <c r="O174" s="13" t="n">
        <v>0.0003</v>
      </c>
      <c r="P174" s="2" t="s">
        <v>739</v>
      </c>
      <c r="Q174" s="14" t="n">
        <f aca="false">MAX(N174/DRIVERS!$B$5,O174/DRIVERS!$B$6)</f>
        <v>5E-005</v>
      </c>
      <c r="R174" s="15" t="n">
        <f aca="false">ROUNDDOWN(1/Q174,0)</f>
        <v>20000</v>
      </c>
      <c r="S174" s="5" t="n">
        <f aca="false">DRIVERS!$B$23*Q174/DRIVERS!$B$24</f>
        <v>0.259546291392959</v>
      </c>
      <c r="T174" s="5" t="n">
        <f aca="false">J174*INDEX(DRIVERS!$C$32:$C$42,MATCH(B174,DRIVERS!$A$32:$A$42,0))</f>
        <v>1.6</v>
      </c>
      <c r="U174" s="5" t="n">
        <f aca="false">J174*INDEX(SUPPLIERS!$E$3:$E$30,MATCH(C174,SUPPLIERS!$A$3:$A$30,0))</f>
        <v>0</v>
      </c>
      <c r="V174" s="5" t="n">
        <v>0</v>
      </c>
      <c r="W174" s="5" t="n">
        <f aca="false">J174+S174+T174+U174+V174</f>
        <v>81.859546291393</v>
      </c>
      <c r="X174" s="9" t="n">
        <f aca="false">W174/J174-1</f>
        <v>0.023244328642412</v>
      </c>
      <c r="Y174" s="6" t="n">
        <f aca="false">INDEX(DRIVERS!$B$32:$B$42,MATCH(B174,DRIVERS!$A$32:$A$42,0))</f>
        <v>0.3</v>
      </c>
      <c r="Z174" s="5" t="n">
        <f aca="false">W174*(1+Y174)</f>
        <v>106.417410178811</v>
      </c>
      <c r="AA174" s="5" t="n">
        <f aca="false">W174*(1+Y174+DRIVERS!$B$26)*(1+DRIVERS!$B$27)</f>
        <v>123.771633992586</v>
      </c>
      <c r="AB174" s="2" t="s">
        <v>218</v>
      </c>
      <c r="AC174" s="8"/>
    </row>
    <row r="175" customFormat="false" ht="15" hidden="false" customHeight="false" outlineLevel="0" collapsed="false">
      <c r="A175" s="2" t="s">
        <v>740</v>
      </c>
      <c r="B175" s="2" t="s">
        <v>681</v>
      </c>
      <c r="C175" s="2" t="s">
        <v>92</v>
      </c>
      <c r="D175" s="2" t="s">
        <v>741</v>
      </c>
      <c r="E175" s="2" t="s">
        <v>733</v>
      </c>
      <c r="F175" s="2" t="s">
        <v>186</v>
      </c>
      <c r="G175" s="2" t="s">
        <v>186</v>
      </c>
      <c r="H175" s="5" t="n">
        <v>80</v>
      </c>
      <c r="I175" s="6" t="n">
        <f aca="false">INDEX(SUPPLIERS!$D$3:$D$30,MATCH(C175,SUPPLIERS!$A$3:$A$30,0))</f>
        <v>0</v>
      </c>
      <c r="J175" s="5" t="n">
        <f aca="false">H175*(1-I175)</f>
        <v>80</v>
      </c>
      <c r="M175" s="5" t="str">
        <f aca="false">IF(K175="","",J175/K175)</f>
        <v/>
      </c>
      <c r="N175" s="2" t="n">
        <v>0.15</v>
      </c>
      <c r="O175" s="13" t="n">
        <v>0.0003</v>
      </c>
      <c r="P175" s="2" t="s">
        <v>742</v>
      </c>
      <c r="Q175" s="14" t="n">
        <f aca="false">MAX(N175/DRIVERS!$B$5,O175/DRIVERS!$B$6)</f>
        <v>5E-005</v>
      </c>
      <c r="R175" s="15" t="n">
        <f aca="false">ROUNDDOWN(1/Q175,0)</f>
        <v>20000</v>
      </c>
      <c r="S175" s="5" t="n">
        <f aca="false">DRIVERS!$B$23*Q175/DRIVERS!$B$24</f>
        <v>0.259546291392959</v>
      </c>
      <c r="T175" s="5" t="n">
        <f aca="false">J175*INDEX(DRIVERS!$C$32:$C$42,MATCH(B175,DRIVERS!$A$32:$A$42,0))</f>
        <v>1.6</v>
      </c>
      <c r="U175" s="5" t="n">
        <f aca="false">J175*INDEX(SUPPLIERS!$E$3:$E$30,MATCH(C175,SUPPLIERS!$A$3:$A$30,0))</f>
        <v>0</v>
      </c>
      <c r="V175" s="5" t="n">
        <v>0</v>
      </c>
      <c r="W175" s="5" t="n">
        <f aca="false">J175+S175+T175+U175+V175</f>
        <v>81.859546291393</v>
      </c>
      <c r="X175" s="9" t="n">
        <f aca="false">W175/J175-1</f>
        <v>0.023244328642412</v>
      </c>
      <c r="Y175" s="6" t="n">
        <f aca="false">INDEX(DRIVERS!$B$32:$B$42,MATCH(B175,DRIVERS!$A$32:$A$42,0))</f>
        <v>0.3</v>
      </c>
      <c r="Z175" s="5" t="n">
        <f aca="false">W175*(1+Y175)</f>
        <v>106.417410178811</v>
      </c>
      <c r="AA175" s="5" t="n">
        <f aca="false">W175*(1+Y175+DRIVERS!$B$26)*(1+DRIVERS!$B$27)</f>
        <v>123.771633992586</v>
      </c>
      <c r="AB175" s="2" t="s">
        <v>218</v>
      </c>
      <c r="AC175" s="8"/>
    </row>
    <row r="176" customFormat="false" ht="15" hidden="false" customHeight="false" outlineLevel="0" collapsed="false">
      <c r="A176" s="2" t="s">
        <v>743</v>
      </c>
      <c r="B176" s="2" t="s">
        <v>681</v>
      </c>
      <c r="C176" s="2" t="s">
        <v>92</v>
      </c>
      <c r="D176" s="2" t="s">
        <v>744</v>
      </c>
      <c r="E176" s="2" t="s">
        <v>733</v>
      </c>
      <c r="F176" s="2" t="s">
        <v>186</v>
      </c>
      <c r="G176" s="2" t="s">
        <v>186</v>
      </c>
      <c r="H176" s="5" t="n">
        <v>280</v>
      </c>
      <c r="I176" s="6" t="n">
        <f aca="false">INDEX(SUPPLIERS!$D$3:$D$30,MATCH(C176,SUPPLIERS!$A$3:$A$30,0))</f>
        <v>0</v>
      </c>
      <c r="J176" s="5" t="n">
        <f aca="false">H176*(1-I176)</f>
        <v>280</v>
      </c>
      <c r="M176" s="5" t="str">
        <f aca="false">IF(K176="","",J176/K176)</f>
        <v/>
      </c>
      <c r="N176" s="2" t="n">
        <v>0.5</v>
      </c>
      <c r="O176" s="13" t="n">
        <v>0.001</v>
      </c>
      <c r="P176" s="2" t="s">
        <v>745</v>
      </c>
      <c r="Q176" s="14" t="n">
        <f aca="false">MAX(N176/DRIVERS!$B$5,O176/DRIVERS!$B$6)</f>
        <v>0.000166666666666667</v>
      </c>
      <c r="R176" s="15" t="n">
        <f aca="false">ROUNDDOWN(1/Q176,0)</f>
        <v>6000</v>
      </c>
      <c r="S176" s="5" t="n">
        <f aca="false">DRIVERS!$B$23*Q176/DRIVERS!$B$24</f>
        <v>0.865154304643197</v>
      </c>
      <c r="T176" s="5" t="n">
        <f aca="false">J176*INDEX(DRIVERS!$C$32:$C$42,MATCH(B176,DRIVERS!$A$32:$A$42,0))</f>
        <v>5.6</v>
      </c>
      <c r="U176" s="5" t="n">
        <f aca="false">J176*INDEX(SUPPLIERS!$E$3:$E$30,MATCH(C176,SUPPLIERS!$A$3:$A$30,0))</f>
        <v>0</v>
      </c>
      <c r="V176" s="5" t="n">
        <v>0</v>
      </c>
      <c r="W176" s="5" t="n">
        <f aca="false">J176+S176+T176+U176+V176</f>
        <v>286.465154304643</v>
      </c>
      <c r="X176" s="9" t="n">
        <f aca="false">W176/J176-1</f>
        <v>0.0230898368022971</v>
      </c>
      <c r="Y176" s="6" t="n">
        <f aca="false">INDEX(DRIVERS!$B$32:$B$42,MATCH(B176,DRIVERS!$A$32:$A$42,0))</f>
        <v>0.3</v>
      </c>
      <c r="Z176" s="5" t="n">
        <f aca="false">W176*(1+Y176)</f>
        <v>372.404700596036</v>
      </c>
      <c r="AA176" s="5" t="n">
        <f aca="false">W176*(1+Y176+DRIVERS!$B$26)*(1+DRIVERS!$B$27)</f>
        <v>433.135313308621</v>
      </c>
      <c r="AB176" s="2" t="s">
        <v>218</v>
      </c>
      <c r="AC176" s="8"/>
    </row>
    <row r="177" customFormat="false" ht="15" hidden="false" customHeight="false" outlineLevel="0" collapsed="false">
      <c r="A177" s="2" t="s">
        <v>746</v>
      </c>
      <c r="B177" s="2" t="s">
        <v>681</v>
      </c>
      <c r="C177" s="2" t="s">
        <v>92</v>
      </c>
      <c r="D177" s="2" t="s">
        <v>747</v>
      </c>
      <c r="E177" s="2" t="s">
        <v>748</v>
      </c>
      <c r="F177" s="2" t="s">
        <v>186</v>
      </c>
      <c r="G177" s="2" t="s">
        <v>186</v>
      </c>
      <c r="H177" s="5" t="n">
        <v>700</v>
      </c>
      <c r="I177" s="6" t="n">
        <f aca="false">INDEX(SUPPLIERS!$D$3:$D$30,MATCH(C177,SUPPLIERS!$A$3:$A$30,0))</f>
        <v>0</v>
      </c>
      <c r="J177" s="5" t="n">
        <f aca="false">H177*(1-I177)</f>
        <v>700</v>
      </c>
      <c r="M177" s="5" t="str">
        <f aca="false">IF(K177="","",J177/K177)</f>
        <v/>
      </c>
      <c r="N177" s="2" t="n">
        <v>1.95</v>
      </c>
      <c r="O177" s="13" t="n">
        <v>0.00504</v>
      </c>
      <c r="P177" s="2" t="s">
        <v>699</v>
      </c>
      <c r="Q177" s="14" t="n">
        <f aca="false">MAX(N177/DRIVERS!$B$5,O177/DRIVERS!$B$6)</f>
        <v>0.00065</v>
      </c>
      <c r="R177" s="15" t="n">
        <f aca="false">ROUNDDOWN(1/Q177,0)</f>
        <v>1538</v>
      </c>
      <c r="S177" s="5" t="n">
        <f aca="false">DRIVERS!$B$23*Q177/DRIVERS!$B$24</f>
        <v>3.37410178810847</v>
      </c>
      <c r="T177" s="5" t="n">
        <f aca="false">J177*INDEX(DRIVERS!$C$32:$C$42,MATCH(B177,DRIVERS!$A$32:$A$42,0))</f>
        <v>14</v>
      </c>
      <c r="U177" s="5" t="n">
        <f aca="false">J177*INDEX(SUPPLIERS!$E$3:$E$30,MATCH(C177,SUPPLIERS!$A$3:$A$30,0))</f>
        <v>0</v>
      </c>
      <c r="V177" s="5" t="n">
        <v>0</v>
      </c>
      <c r="W177" s="5" t="n">
        <f aca="false">J177+S177+T177+U177+V177</f>
        <v>717.374101788108</v>
      </c>
      <c r="X177" s="9" t="n">
        <f aca="false">W177/J177-1</f>
        <v>0.0248201454115835</v>
      </c>
      <c r="Y177" s="6" t="n">
        <f aca="false">INDEX(DRIVERS!$B$32:$B$42,MATCH(B177,DRIVERS!$A$32:$A$42,0))</f>
        <v>0.3</v>
      </c>
      <c r="Z177" s="5" t="n">
        <f aca="false">W177*(1+Y177)</f>
        <v>932.586332324541</v>
      </c>
      <c r="AA177" s="5" t="n">
        <f aca="false">W177*(1+Y177+DRIVERS!$B$26)*(1+DRIVERS!$B$27)</f>
        <v>1084.66964190362</v>
      </c>
      <c r="AB177" s="2" t="s">
        <v>218</v>
      </c>
      <c r="AC177" s="8"/>
      <c r="AD177" s="2" t="s">
        <v>749</v>
      </c>
    </row>
    <row r="178" customFormat="false" ht="15" hidden="false" customHeight="false" outlineLevel="0" collapsed="false">
      <c r="A178" s="2" t="s">
        <v>63</v>
      </c>
      <c r="B178" s="2" t="s">
        <v>750</v>
      </c>
      <c r="C178" s="2" t="s">
        <v>93</v>
      </c>
      <c r="D178" s="2" t="s">
        <v>751</v>
      </c>
      <c r="E178" s="2" t="s">
        <v>752</v>
      </c>
      <c r="F178" s="2" t="s">
        <v>753</v>
      </c>
      <c r="G178" s="2" t="s">
        <v>754</v>
      </c>
      <c r="H178" s="5" t="n">
        <f aca="false">4650/100</f>
        <v>46.5</v>
      </c>
      <c r="I178" s="6" t="n">
        <f aca="false">INDEX(SUPPLIERS!$D$3:$D$30,MATCH(C178,SUPPLIERS!$A$3:$A$30,0))</f>
        <v>0</v>
      </c>
      <c r="J178" s="5" t="n">
        <f aca="false">H178*(1-I178)</f>
        <v>46.5</v>
      </c>
      <c r="M178" s="5" t="str">
        <f aca="false">IF(K178="","",J178/K178)</f>
        <v/>
      </c>
      <c r="N178" s="2" t="n">
        <v>0.055</v>
      </c>
      <c r="O178" s="13" t="n">
        <v>0.00012</v>
      </c>
      <c r="P178" s="2" t="s">
        <v>239</v>
      </c>
      <c r="Q178" s="14" t="n">
        <f aca="false">MAX(N178/DRIVERS!$B$5,O178/DRIVERS!$B$6)</f>
        <v>1.83333333333333E-005</v>
      </c>
      <c r="R178" s="15" t="n">
        <f aca="false">ROUNDDOWN(1/Q178,0)</f>
        <v>54545</v>
      </c>
      <c r="S178" s="5" t="n">
        <f aca="false">DRIVERS!$B$23*Q178/DRIVERS!$B$24</f>
        <v>0.0951669735107516</v>
      </c>
      <c r="T178" s="5" t="n">
        <f aca="false">J178*INDEX(DRIVERS!$C$32:$C$42,MATCH(B178,DRIVERS!$A$32:$A$42,0))</f>
        <v>2.325</v>
      </c>
      <c r="U178" s="5" t="n">
        <f aca="false">J178*INDEX(SUPPLIERS!$E$3:$E$30,MATCH(C178,SUPPLIERS!$A$3:$A$30,0))</f>
        <v>0</v>
      </c>
      <c r="V178" s="5" t="n">
        <v>0</v>
      </c>
      <c r="W178" s="5" t="n">
        <f aca="false">J178+S178+T178+U178+V178</f>
        <v>48.9201669735108</v>
      </c>
      <c r="X178" s="9" t="n">
        <f aca="false">W178/J178-1</f>
        <v>0.0520466015808765</v>
      </c>
      <c r="Y178" s="6" t="n">
        <f aca="false">INDEX(DRIVERS!$B$32:$B$42,MATCH(B178,DRIVERS!$A$32:$A$42,0))</f>
        <v>0.3</v>
      </c>
      <c r="Z178" s="5" t="n">
        <f aca="false">W178*(1+Y178)</f>
        <v>63.596217065564</v>
      </c>
      <c r="AA178" s="5" t="n">
        <f aca="false">W178*(1+Y178+DRIVERS!$B$26)*(1+DRIVERS!$B$27)</f>
        <v>73.9672924639483</v>
      </c>
      <c r="AB178" s="2" t="s">
        <v>189</v>
      </c>
      <c r="AC178" s="5" t="n">
        <v>50</v>
      </c>
      <c r="AD178" s="2" t="s">
        <v>755</v>
      </c>
    </row>
    <row r="179" customFormat="false" ht="15" hidden="false" customHeight="false" outlineLevel="0" collapsed="false">
      <c r="A179" s="2" t="s">
        <v>64</v>
      </c>
      <c r="B179" s="2" t="s">
        <v>750</v>
      </c>
      <c r="C179" s="2" t="s">
        <v>93</v>
      </c>
      <c r="D179" s="2" t="s">
        <v>756</v>
      </c>
      <c r="E179" s="2" t="s">
        <v>752</v>
      </c>
      <c r="F179" s="2" t="s">
        <v>753</v>
      </c>
      <c r="G179" s="2" t="s">
        <v>754</v>
      </c>
      <c r="H179" s="5" t="n">
        <f aca="false">4650/100</f>
        <v>46.5</v>
      </c>
      <c r="I179" s="6" t="n">
        <f aca="false">INDEX(SUPPLIERS!$D$3:$D$30,MATCH(C179,SUPPLIERS!$A$3:$A$30,0))</f>
        <v>0</v>
      </c>
      <c r="J179" s="5" t="n">
        <f aca="false">H179*(1-I179)</f>
        <v>46.5</v>
      </c>
      <c r="M179" s="5" t="str">
        <f aca="false">IF(K179="","",J179/K179)</f>
        <v/>
      </c>
      <c r="N179" s="2" t="n">
        <v>0.055</v>
      </c>
      <c r="O179" s="13" t="n">
        <v>0.00012</v>
      </c>
      <c r="P179" s="2" t="s">
        <v>239</v>
      </c>
      <c r="Q179" s="14" t="n">
        <f aca="false">MAX(N179/DRIVERS!$B$5,O179/DRIVERS!$B$6)</f>
        <v>1.83333333333333E-005</v>
      </c>
      <c r="R179" s="15" t="n">
        <f aca="false">ROUNDDOWN(1/Q179,0)</f>
        <v>54545</v>
      </c>
      <c r="S179" s="5" t="n">
        <f aca="false">DRIVERS!$B$23*Q179/DRIVERS!$B$24</f>
        <v>0.0951669735107516</v>
      </c>
      <c r="T179" s="5" t="n">
        <f aca="false">J179*INDEX(DRIVERS!$C$32:$C$42,MATCH(B179,DRIVERS!$A$32:$A$42,0))</f>
        <v>2.325</v>
      </c>
      <c r="U179" s="5" t="n">
        <f aca="false">J179*INDEX(SUPPLIERS!$E$3:$E$30,MATCH(C179,SUPPLIERS!$A$3:$A$30,0))</f>
        <v>0</v>
      </c>
      <c r="V179" s="5" t="n">
        <v>0</v>
      </c>
      <c r="W179" s="5" t="n">
        <f aca="false">J179+S179+T179+U179+V179</f>
        <v>48.9201669735108</v>
      </c>
      <c r="X179" s="9" t="n">
        <f aca="false">W179/J179-1</f>
        <v>0.0520466015808765</v>
      </c>
      <c r="Y179" s="6" t="n">
        <f aca="false">INDEX(DRIVERS!$B$32:$B$42,MATCH(B179,DRIVERS!$A$32:$A$42,0))</f>
        <v>0.3</v>
      </c>
      <c r="Z179" s="5" t="n">
        <f aca="false">W179*(1+Y179)</f>
        <v>63.596217065564</v>
      </c>
      <c r="AA179" s="5" t="n">
        <f aca="false">W179*(1+Y179+DRIVERS!$B$26)*(1+DRIVERS!$B$27)</f>
        <v>73.9672924639483</v>
      </c>
      <c r="AB179" s="2" t="s">
        <v>189</v>
      </c>
      <c r="AC179" s="5" t="n">
        <v>50</v>
      </c>
    </row>
    <row r="180" customFormat="false" ht="15" hidden="false" customHeight="false" outlineLevel="0" collapsed="false">
      <c r="A180" s="2" t="s">
        <v>757</v>
      </c>
      <c r="B180" s="2" t="s">
        <v>750</v>
      </c>
      <c r="C180" s="2" t="s">
        <v>93</v>
      </c>
      <c r="D180" s="2" t="s">
        <v>758</v>
      </c>
      <c r="E180" s="2" t="s">
        <v>752</v>
      </c>
      <c r="F180" s="2" t="s">
        <v>753</v>
      </c>
      <c r="G180" s="2" t="s">
        <v>759</v>
      </c>
      <c r="H180" s="5" t="n">
        <f aca="false">6950/100</f>
        <v>69.5</v>
      </c>
      <c r="I180" s="6" t="n">
        <f aca="false">INDEX(SUPPLIERS!$D$3:$D$30,MATCH(C180,SUPPLIERS!$A$3:$A$30,0))</f>
        <v>0</v>
      </c>
      <c r="J180" s="5" t="n">
        <f aca="false">H180*(1-I180)</f>
        <v>69.5</v>
      </c>
      <c r="M180" s="5" t="str">
        <f aca="false">IF(K180="","",J180/K180)</f>
        <v/>
      </c>
      <c r="N180" s="2" t="n">
        <v>0.075</v>
      </c>
      <c r="O180" s="13" t="n">
        <v>0.00015</v>
      </c>
      <c r="P180" s="2" t="s">
        <v>239</v>
      </c>
      <c r="Q180" s="14" t="n">
        <f aca="false">MAX(N180/DRIVERS!$B$5,O180/DRIVERS!$B$6)</f>
        <v>2.5E-005</v>
      </c>
      <c r="R180" s="15" t="n">
        <f aca="false">ROUNDDOWN(1/Q180,0)</f>
        <v>40000</v>
      </c>
      <c r="S180" s="5" t="n">
        <f aca="false">DRIVERS!$B$23*Q180/DRIVERS!$B$24</f>
        <v>0.129773145696479</v>
      </c>
      <c r="T180" s="5" t="n">
        <f aca="false">J180*INDEX(DRIVERS!$C$32:$C$42,MATCH(B180,DRIVERS!$A$32:$A$42,0))</f>
        <v>3.475</v>
      </c>
      <c r="U180" s="5" t="n">
        <f aca="false">J180*INDEX(SUPPLIERS!$E$3:$E$30,MATCH(C180,SUPPLIERS!$A$3:$A$30,0))</f>
        <v>0</v>
      </c>
      <c r="V180" s="5" t="n">
        <v>0</v>
      </c>
      <c r="W180" s="5" t="n">
        <f aca="false">J180+S180+T180+U180+V180</f>
        <v>73.1047731456965</v>
      </c>
      <c r="X180" s="9" t="n">
        <f aca="false">W180/J180-1</f>
        <v>0.0518672395064241</v>
      </c>
      <c r="Y180" s="6" t="n">
        <f aca="false">INDEX(DRIVERS!$B$32:$B$42,MATCH(B180,DRIVERS!$A$32:$A$42,0))</f>
        <v>0.3</v>
      </c>
      <c r="Z180" s="5" t="n">
        <f aca="false">W180*(1+Y180)</f>
        <v>95.0362050894054</v>
      </c>
      <c r="AA180" s="5" t="n">
        <f aca="false">W180*(1+Y180+DRIVERS!$B$26)*(1+DRIVERS!$B$27)</f>
        <v>110.534416996293</v>
      </c>
      <c r="AB180" s="2" t="s">
        <v>189</v>
      </c>
      <c r="AC180" s="5" t="n">
        <v>72</v>
      </c>
    </row>
    <row r="181" customFormat="false" ht="15" hidden="false" customHeight="false" outlineLevel="0" collapsed="false">
      <c r="A181" s="2" t="s">
        <v>760</v>
      </c>
      <c r="B181" s="2" t="s">
        <v>750</v>
      </c>
      <c r="C181" s="2" t="s">
        <v>93</v>
      </c>
      <c r="D181" s="2" t="s">
        <v>761</v>
      </c>
      <c r="E181" s="2" t="s">
        <v>752</v>
      </c>
      <c r="F181" s="2" t="s">
        <v>753</v>
      </c>
      <c r="G181" s="2" t="s">
        <v>759</v>
      </c>
      <c r="H181" s="5" t="n">
        <f aca="false">6950/100</f>
        <v>69.5</v>
      </c>
      <c r="I181" s="6" t="n">
        <f aca="false">INDEX(SUPPLIERS!$D$3:$D$30,MATCH(C181,SUPPLIERS!$A$3:$A$30,0))</f>
        <v>0</v>
      </c>
      <c r="J181" s="5" t="n">
        <f aca="false">H181*(1-I181)</f>
        <v>69.5</v>
      </c>
      <c r="M181" s="5" t="str">
        <f aca="false">IF(K181="","",J181/K181)</f>
        <v/>
      </c>
      <c r="N181" s="2" t="n">
        <v>0.075</v>
      </c>
      <c r="O181" s="13" t="n">
        <v>0.00015</v>
      </c>
      <c r="P181" s="2" t="s">
        <v>239</v>
      </c>
      <c r="Q181" s="14" t="n">
        <f aca="false">MAX(N181/DRIVERS!$B$5,O181/DRIVERS!$B$6)</f>
        <v>2.5E-005</v>
      </c>
      <c r="R181" s="15" t="n">
        <f aca="false">ROUNDDOWN(1/Q181,0)</f>
        <v>40000</v>
      </c>
      <c r="S181" s="5" t="n">
        <f aca="false">DRIVERS!$B$23*Q181/DRIVERS!$B$24</f>
        <v>0.129773145696479</v>
      </c>
      <c r="T181" s="5" t="n">
        <f aca="false">J181*INDEX(DRIVERS!$C$32:$C$42,MATCH(B181,DRIVERS!$A$32:$A$42,0))</f>
        <v>3.475</v>
      </c>
      <c r="U181" s="5" t="n">
        <f aca="false">J181*INDEX(SUPPLIERS!$E$3:$E$30,MATCH(C181,SUPPLIERS!$A$3:$A$30,0))</f>
        <v>0</v>
      </c>
      <c r="V181" s="5" t="n">
        <v>0</v>
      </c>
      <c r="W181" s="5" t="n">
        <f aca="false">J181+S181+T181+U181+V181</f>
        <v>73.1047731456965</v>
      </c>
      <c r="X181" s="9" t="n">
        <f aca="false">W181/J181-1</f>
        <v>0.0518672395064241</v>
      </c>
      <c r="Y181" s="6" t="n">
        <f aca="false">INDEX(DRIVERS!$B$32:$B$42,MATCH(B181,DRIVERS!$A$32:$A$42,0))</f>
        <v>0.3</v>
      </c>
      <c r="Z181" s="5" t="n">
        <f aca="false">W181*(1+Y181)</f>
        <v>95.0362050894054</v>
      </c>
      <c r="AA181" s="5" t="n">
        <f aca="false">W181*(1+Y181+DRIVERS!$B$26)*(1+DRIVERS!$B$27)</f>
        <v>110.534416996293</v>
      </c>
      <c r="AB181" s="2" t="s">
        <v>189</v>
      </c>
      <c r="AC181" s="5" t="n">
        <v>72</v>
      </c>
    </row>
    <row r="182" customFormat="false" ht="15" hidden="false" customHeight="false" outlineLevel="0" collapsed="false">
      <c r="A182" s="2" t="s">
        <v>762</v>
      </c>
      <c r="B182" s="2" t="s">
        <v>750</v>
      </c>
      <c r="C182" s="2" t="s">
        <v>93</v>
      </c>
      <c r="D182" s="2" t="s">
        <v>763</v>
      </c>
      <c r="E182" s="2" t="s">
        <v>764</v>
      </c>
      <c r="F182" s="2" t="s">
        <v>753</v>
      </c>
      <c r="G182" s="2" t="s">
        <v>765</v>
      </c>
      <c r="H182" s="5" t="n">
        <v>312</v>
      </c>
      <c r="I182" s="6" t="n">
        <f aca="false">INDEX(SUPPLIERS!$D$3:$D$30,MATCH(C182,SUPPLIERS!$A$3:$A$30,0))</f>
        <v>0</v>
      </c>
      <c r="J182" s="5" t="n">
        <f aca="false">H182*(1-I182)</f>
        <v>312</v>
      </c>
      <c r="M182" s="5" t="str">
        <f aca="false">IF(K182="","",J182/K182)</f>
        <v/>
      </c>
      <c r="N182" s="2" t="n">
        <v>0.25</v>
      </c>
      <c r="O182" s="13" t="n">
        <v>0.0004</v>
      </c>
      <c r="P182" s="2" t="s">
        <v>239</v>
      </c>
      <c r="Q182" s="14" t="n">
        <f aca="false">MAX(N182/DRIVERS!$B$5,O182/DRIVERS!$B$6)</f>
        <v>8.33333333333333E-005</v>
      </c>
      <c r="R182" s="15" t="n">
        <f aca="false">ROUNDDOWN(1/Q182,0)</f>
        <v>12000</v>
      </c>
      <c r="S182" s="5" t="n">
        <f aca="false">DRIVERS!$B$23*Q182/DRIVERS!$B$24</f>
        <v>0.432577152321598</v>
      </c>
      <c r="T182" s="5" t="n">
        <f aca="false">J182*INDEX(DRIVERS!$C$32:$C$42,MATCH(B182,DRIVERS!$A$32:$A$42,0))</f>
        <v>15.6</v>
      </c>
      <c r="U182" s="5" t="n">
        <f aca="false">J182*INDEX(SUPPLIERS!$E$3:$E$30,MATCH(C182,SUPPLIERS!$A$3:$A$30,0))</f>
        <v>0</v>
      </c>
      <c r="V182" s="5" t="n">
        <v>0</v>
      </c>
      <c r="W182" s="5" t="n">
        <f aca="false">J182+S182+T182+U182+V182</f>
        <v>328.032577152322</v>
      </c>
      <c r="X182" s="9" t="n">
        <f aca="false">W182/J182-1</f>
        <v>0.0513864652318001</v>
      </c>
      <c r="Y182" s="6" t="n">
        <f aca="false">INDEX(DRIVERS!$B$32:$B$42,MATCH(B182,DRIVERS!$A$32:$A$42,0))</f>
        <v>0.3</v>
      </c>
      <c r="Z182" s="5" t="n">
        <f aca="false">W182*(1+Y182)</f>
        <v>426.442350298018</v>
      </c>
      <c r="AA182" s="5" t="n">
        <f aca="false">W182*(1+Y182+DRIVERS!$B$26)*(1+DRIVERS!$B$27)</f>
        <v>495.98525665431</v>
      </c>
      <c r="AB182" s="2" t="s">
        <v>189</v>
      </c>
      <c r="AC182" s="5" t="n">
        <v>320</v>
      </c>
      <c r="AD182" s="2" t="s">
        <v>766</v>
      </c>
    </row>
    <row r="183" customFormat="false" ht="15" hidden="false" customHeight="false" outlineLevel="0" collapsed="false">
      <c r="A183" s="2" t="s">
        <v>767</v>
      </c>
      <c r="B183" s="2" t="s">
        <v>750</v>
      </c>
      <c r="C183" s="2" t="s">
        <v>93</v>
      </c>
      <c r="D183" s="2" t="s">
        <v>768</v>
      </c>
      <c r="E183" s="2" t="s">
        <v>764</v>
      </c>
      <c r="F183" s="2" t="s">
        <v>753</v>
      </c>
      <c r="G183" s="2" t="s">
        <v>765</v>
      </c>
      <c r="H183" s="5" t="n">
        <v>312</v>
      </c>
      <c r="I183" s="6" t="n">
        <f aca="false">INDEX(SUPPLIERS!$D$3:$D$30,MATCH(C183,SUPPLIERS!$A$3:$A$30,0))</f>
        <v>0</v>
      </c>
      <c r="J183" s="5" t="n">
        <f aca="false">H183*(1-I183)</f>
        <v>312</v>
      </c>
      <c r="M183" s="5" t="str">
        <f aca="false">IF(K183="","",J183/K183)</f>
        <v/>
      </c>
      <c r="N183" s="2" t="n">
        <v>0.25</v>
      </c>
      <c r="O183" s="13" t="n">
        <v>0.0004</v>
      </c>
      <c r="P183" s="2" t="s">
        <v>239</v>
      </c>
      <c r="Q183" s="14" t="n">
        <f aca="false">MAX(N183/DRIVERS!$B$5,O183/DRIVERS!$B$6)</f>
        <v>8.33333333333333E-005</v>
      </c>
      <c r="R183" s="15" t="n">
        <f aca="false">ROUNDDOWN(1/Q183,0)</f>
        <v>12000</v>
      </c>
      <c r="S183" s="5" t="n">
        <f aca="false">DRIVERS!$B$23*Q183/DRIVERS!$B$24</f>
        <v>0.432577152321598</v>
      </c>
      <c r="T183" s="5" t="n">
        <f aca="false">J183*INDEX(DRIVERS!$C$32:$C$42,MATCH(B183,DRIVERS!$A$32:$A$42,0))</f>
        <v>15.6</v>
      </c>
      <c r="U183" s="5" t="n">
        <f aca="false">J183*INDEX(SUPPLIERS!$E$3:$E$30,MATCH(C183,SUPPLIERS!$A$3:$A$30,0))</f>
        <v>0</v>
      </c>
      <c r="V183" s="5" t="n">
        <v>0</v>
      </c>
      <c r="W183" s="5" t="n">
        <f aca="false">J183+S183+T183+U183+V183</f>
        <v>328.032577152322</v>
      </c>
      <c r="X183" s="9" t="n">
        <f aca="false">W183/J183-1</f>
        <v>0.0513864652318001</v>
      </c>
      <c r="Y183" s="6" t="n">
        <f aca="false">INDEX(DRIVERS!$B$32:$B$42,MATCH(B183,DRIVERS!$A$32:$A$42,0))</f>
        <v>0.3</v>
      </c>
      <c r="Z183" s="5" t="n">
        <f aca="false">W183*(1+Y183)</f>
        <v>426.442350298018</v>
      </c>
      <c r="AA183" s="5" t="n">
        <f aca="false">W183*(1+Y183+DRIVERS!$B$26)*(1+DRIVERS!$B$27)</f>
        <v>495.98525665431</v>
      </c>
      <c r="AB183" s="2" t="s">
        <v>189</v>
      </c>
      <c r="AC183" s="5" t="n">
        <v>320</v>
      </c>
    </row>
    <row r="184" customFormat="false" ht="15" hidden="false" customHeight="false" outlineLevel="0" collapsed="false">
      <c r="A184" s="2" t="s">
        <v>769</v>
      </c>
      <c r="B184" s="2" t="s">
        <v>750</v>
      </c>
      <c r="C184" s="2" t="s">
        <v>90</v>
      </c>
      <c r="D184" s="2" t="s">
        <v>770</v>
      </c>
      <c r="E184" s="2" t="s">
        <v>771</v>
      </c>
      <c r="F184" s="2" t="s">
        <v>753</v>
      </c>
      <c r="G184" s="2" t="s">
        <v>772</v>
      </c>
      <c r="H184" s="5" t="n">
        <v>54</v>
      </c>
      <c r="I184" s="6" t="n">
        <f aca="false">INDEX(SUPPLIERS!$D$3:$D$30,MATCH(C184,SUPPLIERS!$A$3:$A$30,0))</f>
        <v>0</v>
      </c>
      <c r="J184" s="5" t="n">
        <f aca="false">H184*(1-I184)</f>
        <v>54</v>
      </c>
      <c r="M184" s="5" t="str">
        <f aca="false">IF(K184="","",J184/K184)</f>
        <v/>
      </c>
      <c r="N184" s="2" t="n">
        <v>0.058</v>
      </c>
      <c r="O184" s="13" t="n">
        <v>7.3E-005</v>
      </c>
      <c r="P184" s="2" t="s">
        <v>773</v>
      </c>
      <c r="Q184" s="14" t="n">
        <f aca="false">MAX(N184/DRIVERS!$B$5,O184/DRIVERS!$B$6)</f>
        <v>1.93333333333333E-005</v>
      </c>
      <c r="R184" s="15" t="n">
        <f aca="false">ROUNDDOWN(1/Q184,0)</f>
        <v>51724</v>
      </c>
      <c r="S184" s="5" t="n">
        <f aca="false">DRIVERS!$B$23*Q184/DRIVERS!$B$24</f>
        <v>0.100357899338611</v>
      </c>
      <c r="T184" s="5" t="n">
        <f aca="false">J184*INDEX(DRIVERS!$C$32:$C$42,MATCH(B184,DRIVERS!$A$32:$A$42,0))</f>
        <v>2.7</v>
      </c>
      <c r="U184" s="5" t="n">
        <f aca="false">J184*INDEX(SUPPLIERS!$E$3:$E$30,MATCH(C184,SUPPLIERS!$A$3:$A$30,0))</f>
        <v>0</v>
      </c>
      <c r="V184" s="5" t="n">
        <v>0</v>
      </c>
      <c r="W184" s="5" t="n">
        <f aca="false">J184+S184+T184+U184+V184</f>
        <v>56.8003578993386</v>
      </c>
      <c r="X184" s="9" t="n">
        <f aca="false">W184/J184-1</f>
        <v>0.0518584796173818</v>
      </c>
      <c r="Y184" s="6" t="n">
        <f aca="false">INDEX(DRIVERS!$B$32:$B$42,MATCH(B184,DRIVERS!$A$32:$A$42,0))</f>
        <v>0.3</v>
      </c>
      <c r="Z184" s="5" t="n">
        <f aca="false">W184*(1+Y184)</f>
        <v>73.8404652691402</v>
      </c>
      <c r="AA184" s="5" t="n">
        <f aca="false">W184*(1+Y184+DRIVERS!$B$26)*(1+DRIVERS!$B$27)</f>
        <v>85.8821411438</v>
      </c>
      <c r="AB184" s="2" t="s">
        <v>205</v>
      </c>
      <c r="AC184" s="8"/>
    </row>
    <row r="185" customFormat="false" ht="15" hidden="false" customHeight="false" outlineLevel="0" collapsed="false">
      <c r="A185" s="2" t="s">
        <v>774</v>
      </c>
      <c r="B185" s="2" t="s">
        <v>750</v>
      </c>
      <c r="C185" s="2" t="s">
        <v>90</v>
      </c>
      <c r="D185" s="2" t="s">
        <v>775</v>
      </c>
      <c r="E185" s="2" t="s">
        <v>776</v>
      </c>
      <c r="F185" s="2" t="s">
        <v>753</v>
      </c>
      <c r="G185" s="2" t="s">
        <v>753</v>
      </c>
      <c r="H185" s="5" t="n">
        <v>57</v>
      </c>
      <c r="I185" s="6" t="n">
        <f aca="false">INDEX(SUPPLIERS!$D$3:$D$30,MATCH(C185,SUPPLIERS!$A$3:$A$30,0))</f>
        <v>0</v>
      </c>
      <c r="J185" s="5" t="n">
        <f aca="false">H185*(1-I185)</f>
        <v>57</v>
      </c>
      <c r="M185" s="5" t="str">
        <f aca="false">IF(K185="","",J185/K185)</f>
        <v/>
      </c>
      <c r="N185" s="2" t="n">
        <v>0.062</v>
      </c>
      <c r="O185" s="13" t="n">
        <v>7.7E-005</v>
      </c>
      <c r="P185" s="2" t="s">
        <v>773</v>
      </c>
      <c r="Q185" s="14" t="n">
        <f aca="false">MAX(N185/DRIVERS!$B$5,O185/DRIVERS!$B$6)</f>
        <v>2.06666666666667E-005</v>
      </c>
      <c r="R185" s="15" t="n">
        <f aca="false">ROUNDDOWN(1/Q185,0)</f>
        <v>48387</v>
      </c>
      <c r="S185" s="5" t="n">
        <f aca="false">DRIVERS!$B$23*Q185/DRIVERS!$B$24</f>
        <v>0.107279133775756</v>
      </c>
      <c r="T185" s="5" t="n">
        <f aca="false">J185*INDEX(DRIVERS!$C$32:$C$42,MATCH(B185,DRIVERS!$A$32:$A$42,0))</f>
        <v>2.85</v>
      </c>
      <c r="U185" s="5" t="n">
        <f aca="false">J185*INDEX(SUPPLIERS!$E$3:$E$30,MATCH(C185,SUPPLIERS!$A$3:$A$30,0))</f>
        <v>0</v>
      </c>
      <c r="V185" s="5" t="n">
        <v>0</v>
      </c>
      <c r="W185" s="5" t="n">
        <f aca="false">J185+S185+T185+U185+V185</f>
        <v>59.9572791337758</v>
      </c>
      <c r="X185" s="9" t="n">
        <f aca="false">W185/J185-1</f>
        <v>0.0518820900662413</v>
      </c>
      <c r="Y185" s="6" t="n">
        <f aca="false">INDEX(DRIVERS!$B$32:$B$42,MATCH(B185,DRIVERS!$A$32:$A$42,0))</f>
        <v>0.3</v>
      </c>
      <c r="Z185" s="5" t="n">
        <f aca="false">W185*(1+Y185)</f>
        <v>77.9444628739085</v>
      </c>
      <c r="AA185" s="5" t="n">
        <f aca="false">W185*(1+Y185+DRIVERS!$B$26)*(1+DRIVERS!$B$27)</f>
        <v>90.655406050269</v>
      </c>
      <c r="AB185" s="2" t="s">
        <v>205</v>
      </c>
      <c r="AC185" s="8"/>
    </row>
    <row r="186" customFormat="false" ht="15" hidden="false" customHeight="false" outlineLevel="0" collapsed="false">
      <c r="A186" s="2" t="s">
        <v>777</v>
      </c>
      <c r="B186" s="2" t="s">
        <v>750</v>
      </c>
      <c r="C186" s="2" t="s">
        <v>90</v>
      </c>
      <c r="D186" s="2" t="s">
        <v>778</v>
      </c>
      <c r="E186" s="2" t="s">
        <v>779</v>
      </c>
      <c r="F186" s="2" t="s">
        <v>753</v>
      </c>
      <c r="G186" s="2" t="s">
        <v>772</v>
      </c>
      <c r="H186" s="5" t="n">
        <v>86</v>
      </c>
      <c r="I186" s="6" t="n">
        <f aca="false">INDEX(SUPPLIERS!$D$3:$D$30,MATCH(C186,SUPPLIERS!$A$3:$A$30,0))</f>
        <v>0</v>
      </c>
      <c r="J186" s="5" t="n">
        <f aca="false">H186*(1-I186)</f>
        <v>86</v>
      </c>
      <c r="M186" s="5" t="str">
        <f aca="false">IF(K186="","",J186/K186)</f>
        <v/>
      </c>
      <c r="N186" s="2" t="n">
        <v>0.095</v>
      </c>
      <c r="O186" s="13" t="n">
        <v>0.000119</v>
      </c>
      <c r="P186" s="2" t="s">
        <v>773</v>
      </c>
      <c r="Q186" s="14" t="n">
        <f aca="false">MAX(N186/DRIVERS!$B$5,O186/DRIVERS!$B$6)</f>
        <v>3.16666666666667E-005</v>
      </c>
      <c r="R186" s="15" t="n">
        <f aca="false">ROUNDDOWN(1/Q186,0)</f>
        <v>31578</v>
      </c>
      <c r="S186" s="5" t="n">
        <f aca="false">DRIVERS!$B$23*Q186/DRIVERS!$B$24</f>
        <v>0.164379317882207</v>
      </c>
      <c r="T186" s="5" t="n">
        <f aca="false">J186*INDEX(DRIVERS!$C$32:$C$42,MATCH(B186,DRIVERS!$A$32:$A$42,0))</f>
        <v>4.3</v>
      </c>
      <c r="U186" s="5" t="n">
        <f aca="false">J186*INDEX(SUPPLIERS!$E$3:$E$30,MATCH(C186,SUPPLIERS!$A$3:$A$30,0))</f>
        <v>0</v>
      </c>
      <c r="V186" s="5" t="n">
        <v>0</v>
      </c>
      <c r="W186" s="5" t="n">
        <f aca="false">J186+S186+T186+U186+V186</f>
        <v>90.4643793178822</v>
      </c>
      <c r="X186" s="9" t="n">
        <f aca="false">W186/J186-1</f>
        <v>0.051911387417235</v>
      </c>
      <c r="Y186" s="6" t="n">
        <f aca="false">INDEX(DRIVERS!$B$32:$B$42,MATCH(B186,DRIVERS!$A$32:$A$42,0))</f>
        <v>0.3</v>
      </c>
      <c r="Z186" s="5" t="n">
        <f aca="false">W186*(1+Y186)</f>
        <v>117.603693113247</v>
      </c>
      <c r="AA186" s="5" t="n">
        <f aca="false">W186*(1+Y186+DRIVERS!$B$26)*(1+DRIVERS!$B$27)</f>
        <v>136.782141528638</v>
      </c>
      <c r="AB186" s="2" t="s">
        <v>205</v>
      </c>
      <c r="AC186" s="8"/>
    </row>
    <row r="187" customFormat="false" ht="15" hidden="false" customHeight="false" outlineLevel="0" collapsed="false">
      <c r="A187" s="2" t="s">
        <v>65</v>
      </c>
      <c r="B187" s="2" t="s">
        <v>750</v>
      </c>
      <c r="C187" s="2" t="s">
        <v>90</v>
      </c>
      <c r="D187" s="2" t="s">
        <v>780</v>
      </c>
      <c r="E187" s="2" t="s">
        <v>779</v>
      </c>
      <c r="F187" s="2" t="s">
        <v>753</v>
      </c>
      <c r="G187" s="2" t="s">
        <v>753</v>
      </c>
      <c r="H187" s="5" t="n">
        <v>90</v>
      </c>
      <c r="I187" s="6" t="n">
        <f aca="false">INDEX(SUPPLIERS!$D$3:$D$30,MATCH(C187,SUPPLIERS!$A$3:$A$30,0))</f>
        <v>0</v>
      </c>
      <c r="J187" s="5" t="n">
        <f aca="false">H187*(1-I187)</f>
        <v>90</v>
      </c>
      <c r="M187" s="5" t="str">
        <f aca="false">IF(K187="","",J187/K187)</f>
        <v/>
      </c>
      <c r="N187" s="2" t="n">
        <v>0.103</v>
      </c>
      <c r="O187" s="13" t="n">
        <v>0.000129</v>
      </c>
      <c r="P187" s="2" t="s">
        <v>773</v>
      </c>
      <c r="Q187" s="14" t="n">
        <f aca="false">MAX(N187/DRIVERS!$B$5,O187/DRIVERS!$B$6)</f>
        <v>3.43333333333333E-005</v>
      </c>
      <c r="R187" s="15" t="n">
        <f aca="false">ROUNDDOWN(1/Q187,0)</f>
        <v>29126</v>
      </c>
      <c r="S187" s="5" t="n">
        <f aca="false">DRIVERS!$B$23*Q187/DRIVERS!$B$24</f>
        <v>0.178221786756498</v>
      </c>
      <c r="T187" s="5" t="n">
        <f aca="false">J187*INDEX(DRIVERS!$C$32:$C$42,MATCH(B187,DRIVERS!$A$32:$A$42,0))</f>
        <v>4.5</v>
      </c>
      <c r="U187" s="5" t="n">
        <f aca="false">J187*INDEX(SUPPLIERS!$E$3:$E$30,MATCH(C187,SUPPLIERS!$A$3:$A$30,0))</f>
        <v>0</v>
      </c>
      <c r="V187" s="5" t="n">
        <v>0</v>
      </c>
      <c r="W187" s="5" t="n">
        <f aca="false">J187+S187+T187+U187+V187</f>
        <v>94.6782217867565</v>
      </c>
      <c r="X187" s="9" t="n">
        <f aca="false">W187/J187-1</f>
        <v>0.0519802420750721</v>
      </c>
      <c r="Y187" s="6" t="n">
        <f aca="false">INDEX(DRIVERS!$B$32:$B$42,MATCH(B187,DRIVERS!$A$32:$A$42,0))</f>
        <v>0.3</v>
      </c>
      <c r="Z187" s="5" t="n">
        <f aca="false">W187*(1+Y187)</f>
        <v>123.081688322783</v>
      </c>
      <c r="AA187" s="5" t="n">
        <f aca="false">W187*(1+Y187+DRIVERS!$B$26)*(1+DRIVERS!$B$27)</f>
        <v>143.153471341576</v>
      </c>
      <c r="AB187" s="2" t="s">
        <v>205</v>
      </c>
      <c r="AC187" s="8"/>
    </row>
    <row r="188" customFormat="false" ht="15" hidden="false" customHeight="false" outlineLevel="0" collapsed="false">
      <c r="A188" s="2" t="s">
        <v>781</v>
      </c>
      <c r="B188" s="2" t="s">
        <v>750</v>
      </c>
      <c r="C188" s="2" t="s">
        <v>90</v>
      </c>
      <c r="D188" s="2" t="s">
        <v>782</v>
      </c>
      <c r="E188" s="2" t="s">
        <v>783</v>
      </c>
      <c r="F188" s="2" t="s">
        <v>753</v>
      </c>
      <c r="G188" s="2" t="s">
        <v>753</v>
      </c>
      <c r="H188" s="5" t="n">
        <v>138</v>
      </c>
      <c r="I188" s="6" t="n">
        <f aca="false">INDEX(SUPPLIERS!$D$3:$D$30,MATCH(C188,SUPPLIERS!$A$3:$A$30,0))</f>
        <v>0</v>
      </c>
      <c r="J188" s="5" t="n">
        <f aca="false">H188*(1-I188)</f>
        <v>138</v>
      </c>
      <c r="M188" s="5" t="str">
        <f aca="false">IF(K188="","",J188/K188)</f>
        <v/>
      </c>
      <c r="N188" s="2" t="n">
        <v>0.1535</v>
      </c>
      <c r="O188" s="13" t="n">
        <v>0.000192</v>
      </c>
      <c r="P188" s="2" t="s">
        <v>773</v>
      </c>
      <c r="Q188" s="14" t="n">
        <f aca="false">MAX(N188/DRIVERS!$B$5,O188/DRIVERS!$B$6)</f>
        <v>5.11666666666667E-005</v>
      </c>
      <c r="R188" s="15" t="n">
        <f aca="false">ROUNDDOWN(1/Q188,0)</f>
        <v>19543</v>
      </c>
      <c r="S188" s="5" t="n">
        <f aca="false">DRIVERS!$B$23*Q188/DRIVERS!$B$24</f>
        <v>0.265602371525461</v>
      </c>
      <c r="T188" s="5" t="n">
        <f aca="false">J188*INDEX(DRIVERS!$C$32:$C$42,MATCH(B188,DRIVERS!$A$32:$A$42,0))</f>
        <v>6.9</v>
      </c>
      <c r="U188" s="5" t="n">
        <f aca="false">J188*INDEX(SUPPLIERS!$E$3:$E$30,MATCH(C188,SUPPLIERS!$A$3:$A$30,0))</f>
        <v>0</v>
      </c>
      <c r="V188" s="5" t="n">
        <v>0</v>
      </c>
      <c r="W188" s="5" t="n">
        <f aca="false">J188+S188+T188+U188+V188</f>
        <v>145.165602371525</v>
      </c>
      <c r="X188" s="9" t="n">
        <f aca="false">W188/J188-1</f>
        <v>0.0519246548661265</v>
      </c>
      <c r="Y188" s="6" t="n">
        <f aca="false">INDEX(DRIVERS!$B$32:$B$42,MATCH(B188,DRIVERS!$A$32:$A$42,0))</f>
        <v>0.3</v>
      </c>
      <c r="Z188" s="5" t="n">
        <f aca="false">W188*(1+Y188)</f>
        <v>188.715283082983</v>
      </c>
      <c r="AA188" s="5" t="n">
        <f aca="false">W188*(1+Y188+DRIVERS!$B$26)*(1+DRIVERS!$B$27)</f>
        <v>219.490390785747</v>
      </c>
      <c r="AB188" s="2" t="s">
        <v>205</v>
      </c>
      <c r="AC188" s="8"/>
    </row>
    <row r="189" customFormat="false" ht="15" hidden="false" customHeight="false" outlineLevel="0" collapsed="false">
      <c r="A189" s="2" t="s">
        <v>784</v>
      </c>
      <c r="B189" s="2" t="s">
        <v>750</v>
      </c>
      <c r="C189" s="2" t="s">
        <v>90</v>
      </c>
      <c r="D189" s="2" t="s">
        <v>785</v>
      </c>
      <c r="E189" s="2" t="s">
        <v>786</v>
      </c>
      <c r="F189" s="2" t="s">
        <v>753</v>
      </c>
      <c r="G189" s="2" t="s">
        <v>772</v>
      </c>
      <c r="H189" s="5" t="n">
        <v>236</v>
      </c>
      <c r="I189" s="6" t="n">
        <f aca="false">INDEX(SUPPLIERS!$D$3:$D$30,MATCH(C189,SUPPLIERS!$A$3:$A$30,0))</f>
        <v>0</v>
      </c>
      <c r="J189" s="5" t="n">
        <f aca="false">H189*(1-I189)</f>
        <v>236</v>
      </c>
      <c r="M189" s="5" t="str">
        <f aca="false">IF(K189="","",J189/K189)</f>
        <v/>
      </c>
      <c r="N189" s="2" t="n">
        <v>0.24</v>
      </c>
      <c r="O189" s="13" t="n">
        <v>0.0003</v>
      </c>
      <c r="P189" s="2" t="s">
        <v>773</v>
      </c>
      <c r="Q189" s="14" t="n">
        <f aca="false">MAX(N189/DRIVERS!$B$5,O189/DRIVERS!$B$6)</f>
        <v>8E-005</v>
      </c>
      <c r="R189" s="15" t="n">
        <f aca="false">ROUNDDOWN(1/Q189,0)</f>
        <v>12500</v>
      </c>
      <c r="S189" s="5" t="n">
        <f aca="false">DRIVERS!$B$23*Q189/DRIVERS!$B$24</f>
        <v>0.415274066228734</v>
      </c>
      <c r="T189" s="5" t="n">
        <f aca="false">J189*INDEX(DRIVERS!$C$32:$C$42,MATCH(B189,DRIVERS!$A$32:$A$42,0))</f>
        <v>11.8</v>
      </c>
      <c r="U189" s="5" t="n">
        <f aca="false">J189*INDEX(SUPPLIERS!$E$3:$E$30,MATCH(C189,SUPPLIERS!$A$3:$A$30,0))</f>
        <v>0</v>
      </c>
      <c r="V189" s="5" t="n">
        <v>0</v>
      </c>
      <c r="W189" s="5" t="n">
        <f aca="false">J189+S189+T189+U189+V189</f>
        <v>248.215274066229</v>
      </c>
      <c r="X189" s="9" t="n">
        <f aca="false">W189/J189-1</f>
        <v>0.0517596358738506</v>
      </c>
      <c r="Y189" s="6" t="n">
        <f aca="false">INDEX(DRIVERS!$B$32:$B$42,MATCH(B189,DRIVERS!$A$32:$A$42,0))</f>
        <v>0.3</v>
      </c>
      <c r="Z189" s="5" t="n">
        <f aca="false">W189*(1+Y189)</f>
        <v>322.679856286097</v>
      </c>
      <c r="AA189" s="5" t="n">
        <f aca="false">W189*(1+Y189+DRIVERS!$B$26)*(1+DRIVERS!$B$27)</f>
        <v>375.301494388138</v>
      </c>
      <c r="AB189" s="2" t="s">
        <v>205</v>
      </c>
      <c r="AC189" s="8"/>
    </row>
    <row r="190" customFormat="false" ht="15" hidden="false" customHeight="false" outlineLevel="0" collapsed="false">
      <c r="A190" s="2" t="s">
        <v>787</v>
      </c>
      <c r="B190" s="2" t="s">
        <v>750</v>
      </c>
      <c r="C190" s="2" t="s">
        <v>90</v>
      </c>
      <c r="D190" s="2" t="s">
        <v>788</v>
      </c>
      <c r="E190" s="2" t="s">
        <v>786</v>
      </c>
      <c r="F190" s="2" t="s">
        <v>753</v>
      </c>
      <c r="G190" s="2" t="s">
        <v>753</v>
      </c>
      <c r="H190" s="5" t="n">
        <v>241</v>
      </c>
      <c r="I190" s="6" t="n">
        <f aca="false">INDEX(SUPPLIERS!$D$3:$D$30,MATCH(C190,SUPPLIERS!$A$3:$A$30,0))</f>
        <v>0</v>
      </c>
      <c r="J190" s="5" t="n">
        <f aca="false">H190*(1-I190)</f>
        <v>241</v>
      </c>
      <c r="M190" s="5" t="str">
        <f aca="false">IF(K190="","",J190/K190)</f>
        <v/>
      </c>
      <c r="N190" s="2" t="n">
        <v>0.23</v>
      </c>
      <c r="O190" s="13" t="n">
        <v>0.000287</v>
      </c>
      <c r="P190" s="2" t="s">
        <v>773</v>
      </c>
      <c r="Q190" s="14" t="n">
        <f aca="false">MAX(N190/DRIVERS!$B$5,O190/DRIVERS!$B$6)</f>
        <v>7.66666666666667E-005</v>
      </c>
      <c r="R190" s="15" t="n">
        <f aca="false">ROUNDDOWN(1/Q190,0)</f>
        <v>13043</v>
      </c>
      <c r="S190" s="5" t="n">
        <f aca="false">DRIVERS!$B$23*Q190/DRIVERS!$B$24</f>
        <v>0.39797098013587</v>
      </c>
      <c r="T190" s="5" t="n">
        <f aca="false">J190*INDEX(DRIVERS!$C$32:$C$42,MATCH(B190,DRIVERS!$A$32:$A$42,0))</f>
        <v>12.05</v>
      </c>
      <c r="U190" s="5" t="n">
        <f aca="false">J190*INDEX(SUPPLIERS!$E$3:$E$30,MATCH(C190,SUPPLIERS!$A$3:$A$30,0))</f>
        <v>0</v>
      </c>
      <c r="V190" s="5" t="n">
        <v>0</v>
      </c>
      <c r="W190" s="5" t="n">
        <f aca="false">J190+S190+T190+U190+V190</f>
        <v>253.447970980136</v>
      </c>
      <c r="X190" s="9" t="n">
        <f aca="false">W190/J190-1</f>
        <v>0.0516513318677838</v>
      </c>
      <c r="Y190" s="6" t="n">
        <f aca="false">INDEX(DRIVERS!$B$32:$B$42,MATCH(B190,DRIVERS!$A$32:$A$42,0))</f>
        <v>0.3</v>
      </c>
      <c r="Z190" s="5" t="n">
        <f aca="false">W190*(1+Y190)</f>
        <v>329.482362274177</v>
      </c>
      <c r="AA190" s="5" t="n">
        <f aca="false">W190*(1+Y190+DRIVERS!$B$26)*(1+DRIVERS!$B$27)</f>
        <v>383.213332121966</v>
      </c>
      <c r="AB190" s="2" t="s">
        <v>205</v>
      </c>
      <c r="AC190" s="8"/>
    </row>
    <row r="191" customFormat="false" ht="15" hidden="false" customHeight="false" outlineLevel="0" collapsed="false">
      <c r="A191" s="2" t="s">
        <v>789</v>
      </c>
      <c r="B191" s="2" t="s">
        <v>750</v>
      </c>
      <c r="C191" s="2" t="s">
        <v>90</v>
      </c>
      <c r="D191" s="2" t="s">
        <v>790</v>
      </c>
      <c r="E191" s="2" t="s">
        <v>791</v>
      </c>
      <c r="F191" s="2" t="s">
        <v>753</v>
      </c>
      <c r="G191" s="2" t="s">
        <v>772</v>
      </c>
      <c r="H191" s="5" t="n">
        <v>326</v>
      </c>
      <c r="I191" s="6" t="n">
        <f aca="false">INDEX(SUPPLIERS!$D$3:$D$30,MATCH(C191,SUPPLIERS!$A$3:$A$30,0))</f>
        <v>0</v>
      </c>
      <c r="J191" s="5" t="n">
        <f aca="false">H191*(1-I191)</f>
        <v>326</v>
      </c>
      <c r="M191" s="5" t="str">
        <f aca="false">IF(K191="","",J191/K191)</f>
        <v/>
      </c>
      <c r="N191" s="2" t="n">
        <v>0.32</v>
      </c>
      <c r="O191" s="13" t="n">
        <v>0.0004</v>
      </c>
      <c r="P191" s="2" t="s">
        <v>773</v>
      </c>
      <c r="Q191" s="14" t="n">
        <f aca="false">MAX(N191/DRIVERS!$B$5,O191/DRIVERS!$B$6)</f>
        <v>0.000106666666666667</v>
      </c>
      <c r="R191" s="15" t="n">
        <f aca="false">ROUNDDOWN(1/Q191,0)</f>
        <v>9375</v>
      </c>
      <c r="S191" s="5" t="n">
        <f aca="false">DRIVERS!$B$23*Q191/DRIVERS!$B$24</f>
        <v>0.553698754971646</v>
      </c>
      <c r="T191" s="5" t="n">
        <f aca="false">J191*INDEX(DRIVERS!$C$32:$C$42,MATCH(B191,DRIVERS!$A$32:$A$42,0))</f>
        <v>16.3</v>
      </c>
      <c r="U191" s="5" t="n">
        <f aca="false">J191*INDEX(SUPPLIERS!$E$3:$E$30,MATCH(C191,SUPPLIERS!$A$3:$A$30,0))</f>
        <v>0</v>
      </c>
      <c r="V191" s="5" t="n">
        <v>0</v>
      </c>
      <c r="W191" s="5" t="n">
        <f aca="false">J191+S191+T191+U191+V191</f>
        <v>342.853698754972</v>
      </c>
      <c r="X191" s="9" t="n">
        <f aca="false">W191/J191-1</f>
        <v>0.0516984624385635</v>
      </c>
      <c r="Y191" s="6" t="n">
        <f aca="false">INDEX(DRIVERS!$B$32:$B$42,MATCH(B191,DRIVERS!$A$32:$A$42,0))</f>
        <v>0.3</v>
      </c>
      <c r="Z191" s="5" t="n">
        <f aca="false">W191*(1+Y191)</f>
        <v>445.709808381463</v>
      </c>
      <c r="AA191" s="5" t="n">
        <f aca="false">W191*(1+Y191+DRIVERS!$B$26)*(1+DRIVERS!$B$27)</f>
        <v>518.394792517517</v>
      </c>
      <c r="AB191" s="2" t="s">
        <v>205</v>
      </c>
      <c r="AC191" s="8"/>
    </row>
    <row r="192" customFormat="false" ht="15" hidden="false" customHeight="false" outlineLevel="0" collapsed="false">
      <c r="A192" s="2" t="s">
        <v>792</v>
      </c>
      <c r="B192" s="2" t="s">
        <v>750</v>
      </c>
      <c r="C192" s="2" t="s">
        <v>90</v>
      </c>
      <c r="D192" s="2" t="s">
        <v>793</v>
      </c>
      <c r="E192" s="2" t="s">
        <v>791</v>
      </c>
      <c r="F192" s="2" t="s">
        <v>753</v>
      </c>
      <c r="G192" s="2" t="s">
        <v>753</v>
      </c>
      <c r="H192" s="5" t="n">
        <v>331</v>
      </c>
      <c r="I192" s="6" t="n">
        <f aca="false">INDEX(SUPPLIERS!$D$3:$D$30,MATCH(C192,SUPPLIERS!$A$3:$A$30,0))</f>
        <v>0</v>
      </c>
      <c r="J192" s="5" t="n">
        <f aca="false">H192*(1-I192)</f>
        <v>331</v>
      </c>
      <c r="M192" s="5" t="str">
        <f aca="false">IF(K192="","",J192/K192)</f>
        <v/>
      </c>
      <c r="N192" s="2" t="n">
        <v>0.31</v>
      </c>
      <c r="O192" s="13" t="n">
        <v>0.000387</v>
      </c>
      <c r="P192" s="2" t="s">
        <v>773</v>
      </c>
      <c r="Q192" s="14" t="n">
        <f aca="false">MAX(N192/DRIVERS!$B$5,O192/DRIVERS!$B$6)</f>
        <v>0.000103333333333333</v>
      </c>
      <c r="R192" s="15" t="n">
        <f aca="false">ROUNDDOWN(1/Q192,0)</f>
        <v>9677</v>
      </c>
      <c r="S192" s="5" t="n">
        <f aca="false">DRIVERS!$B$23*Q192/DRIVERS!$B$24</f>
        <v>0.536395668878782</v>
      </c>
      <c r="T192" s="5" t="n">
        <f aca="false">J192*INDEX(DRIVERS!$C$32:$C$42,MATCH(B192,DRIVERS!$A$32:$A$42,0))</f>
        <v>16.55</v>
      </c>
      <c r="U192" s="5" t="n">
        <f aca="false">J192*INDEX(SUPPLIERS!$E$3:$E$30,MATCH(C192,SUPPLIERS!$A$3:$A$30,0))</f>
        <v>0</v>
      </c>
      <c r="V192" s="5" t="n">
        <v>0</v>
      </c>
      <c r="W192" s="5" t="n">
        <f aca="false">J192+S192+T192+U192+V192</f>
        <v>348.086395668879</v>
      </c>
      <c r="X192" s="9" t="n">
        <f aca="false">W192/J192-1</f>
        <v>0.0516205307216882</v>
      </c>
      <c r="Y192" s="6" t="n">
        <f aca="false">INDEX(DRIVERS!$B$32:$B$42,MATCH(B192,DRIVERS!$A$32:$A$42,0))</f>
        <v>0.3</v>
      </c>
      <c r="Z192" s="5" t="n">
        <f aca="false">W192*(1+Y192)</f>
        <v>452.512314369542</v>
      </c>
      <c r="AA192" s="5" t="n">
        <f aca="false">W192*(1+Y192+DRIVERS!$B$26)*(1+DRIVERS!$B$27)</f>
        <v>526.306630251345</v>
      </c>
      <c r="AB192" s="2" t="s">
        <v>205</v>
      </c>
      <c r="AC192" s="8"/>
    </row>
    <row r="193" customFormat="false" ht="15" hidden="false" customHeight="false" outlineLevel="0" collapsed="false">
      <c r="A193" s="2" t="s">
        <v>794</v>
      </c>
      <c r="B193" s="2" t="s">
        <v>750</v>
      </c>
      <c r="C193" s="2" t="s">
        <v>90</v>
      </c>
      <c r="D193" s="2" t="s">
        <v>795</v>
      </c>
      <c r="E193" s="2" t="s">
        <v>796</v>
      </c>
      <c r="F193" s="2" t="s">
        <v>753</v>
      </c>
      <c r="G193" s="2" t="s">
        <v>753</v>
      </c>
      <c r="H193" s="5" t="n">
        <v>210</v>
      </c>
      <c r="I193" s="6" t="n">
        <f aca="false">INDEX(SUPPLIERS!$D$3:$D$30,MATCH(C193,SUPPLIERS!$A$3:$A$30,0))</f>
        <v>0</v>
      </c>
      <c r="J193" s="5" t="n">
        <f aca="false">H193*(1-I193)</f>
        <v>210</v>
      </c>
      <c r="M193" s="5" t="str">
        <f aca="false">IF(K193="","",J193/K193)</f>
        <v/>
      </c>
      <c r="N193" s="2" t="n">
        <v>0.3055</v>
      </c>
      <c r="O193" s="13" t="n">
        <v>0.000382</v>
      </c>
      <c r="P193" s="2" t="s">
        <v>773</v>
      </c>
      <c r="Q193" s="14" t="n">
        <f aca="false">MAX(N193/DRIVERS!$B$5,O193/DRIVERS!$B$6)</f>
        <v>0.000101833333333333</v>
      </c>
      <c r="R193" s="15" t="n">
        <f aca="false">ROUNDDOWN(1/Q193,0)</f>
        <v>9819</v>
      </c>
      <c r="S193" s="5" t="n">
        <f aca="false">DRIVERS!$B$23*Q193/DRIVERS!$B$24</f>
        <v>0.528609280136993</v>
      </c>
      <c r="T193" s="5" t="n">
        <f aca="false">J193*INDEX(DRIVERS!$C$32:$C$42,MATCH(B193,DRIVERS!$A$32:$A$42,0))</f>
        <v>10.5</v>
      </c>
      <c r="U193" s="5" t="n">
        <f aca="false">J193*INDEX(SUPPLIERS!$E$3:$E$30,MATCH(C193,SUPPLIERS!$A$3:$A$30,0))</f>
        <v>0</v>
      </c>
      <c r="V193" s="5" t="n">
        <v>0</v>
      </c>
      <c r="W193" s="5" t="n">
        <f aca="false">J193+S193+T193+U193+V193</f>
        <v>221.028609280137</v>
      </c>
      <c r="X193" s="9" t="n">
        <f aca="false">W193/J193-1</f>
        <v>0.0525171870482715</v>
      </c>
      <c r="Y193" s="6" t="n">
        <f aca="false">INDEX(DRIVERS!$B$32:$B$42,MATCH(B193,DRIVERS!$A$32:$A$42,0))</f>
        <v>0.3</v>
      </c>
      <c r="Z193" s="5" t="n">
        <f aca="false">W193*(1+Y193)</f>
        <v>287.337192064178</v>
      </c>
      <c r="AA193" s="5" t="n">
        <f aca="false">W193*(1+Y193+DRIVERS!$B$26)*(1+DRIVERS!$B$27)</f>
        <v>334.195257231567</v>
      </c>
      <c r="AB193" s="2" t="s">
        <v>205</v>
      </c>
      <c r="AC193" s="8"/>
    </row>
    <row r="194" customFormat="false" ht="15" hidden="false" customHeight="false" outlineLevel="0" collapsed="false">
      <c r="A194" s="2" t="s">
        <v>797</v>
      </c>
      <c r="B194" s="2" t="s">
        <v>750</v>
      </c>
      <c r="C194" s="2" t="s">
        <v>90</v>
      </c>
      <c r="D194" s="2" t="s">
        <v>798</v>
      </c>
      <c r="E194" s="2" t="s">
        <v>799</v>
      </c>
      <c r="F194" s="2" t="s">
        <v>753</v>
      </c>
      <c r="G194" s="2" t="s">
        <v>753</v>
      </c>
      <c r="H194" s="5" t="n">
        <v>300</v>
      </c>
      <c r="I194" s="6" t="n">
        <f aca="false">INDEX(SUPPLIERS!$D$3:$D$30,MATCH(C194,SUPPLIERS!$A$3:$A$30,0))</f>
        <v>0</v>
      </c>
      <c r="J194" s="5" t="n">
        <f aca="false">H194*(1-I194)</f>
        <v>300</v>
      </c>
      <c r="M194" s="5" t="str">
        <f aca="false">IF(K194="","",J194/K194)</f>
        <v/>
      </c>
      <c r="N194" s="2" t="n">
        <v>0.22</v>
      </c>
      <c r="O194" s="13" t="n">
        <v>0.000275</v>
      </c>
      <c r="P194" s="2" t="s">
        <v>773</v>
      </c>
      <c r="Q194" s="14" t="n">
        <f aca="false">MAX(N194/DRIVERS!$B$5,O194/DRIVERS!$B$6)</f>
        <v>7.33333333333333E-005</v>
      </c>
      <c r="R194" s="15" t="n">
        <f aca="false">ROUNDDOWN(1/Q194,0)</f>
        <v>13636</v>
      </c>
      <c r="S194" s="5" t="n">
        <f aca="false">DRIVERS!$B$23*Q194/DRIVERS!$B$24</f>
        <v>0.380667894043006</v>
      </c>
      <c r="T194" s="5" t="n">
        <f aca="false">J194*INDEX(DRIVERS!$C$32:$C$42,MATCH(B194,DRIVERS!$A$32:$A$42,0))</f>
        <v>15</v>
      </c>
      <c r="U194" s="5" t="n">
        <f aca="false">J194*INDEX(SUPPLIERS!$E$3:$E$30,MATCH(C194,SUPPLIERS!$A$3:$A$30,0))</f>
        <v>0</v>
      </c>
      <c r="V194" s="5" t="n">
        <v>0</v>
      </c>
      <c r="W194" s="5" t="n">
        <f aca="false">J194+S194+T194+U194+V194</f>
        <v>315.380667894043</v>
      </c>
      <c r="X194" s="9" t="n">
        <f aca="false">W194/J194-1</f>
        <v>0.0512688929801435</v>
      </c>
      <c r="Y194" s="6" t="n">
        <f aca="false">INDEX(DRIVERS!$B$32:$B$42,MATCH(B194,DRIVERS!$A$32:$A$42,0))</f>
        <v>0.3</v>
      </c>
      <c r="Z194" s="5" t="n">
        <f aca="false">W194*(1+Y194)</f>
        <v>409.994868262256</v>
      </c>
      <c r="AA194" s="5" t="n">
        <f aca="false">W194*(1+Y194+DRIVERS!$B$26)*(1+DRIVERS!$B$27)</f>
        <v>476.855569855793</v>
      </c>
      <c r="AB194" s="2" t="s">
        <v>205</v>
      </c>
      <c r="AC194" s="8"/>
    </row>
    <row r="195" customFormat="false" ht="15" hidden="false" customHeight="false" outlineLevel="0" collapsed="false">
      <c r="A195" s="2" t="s">
        <v>800</v>
      </c>
      <c r="B195" s="2" t="s">
        <v>750</v>
      </c>
      <c r="C195" s="2" t="s">
        <v>90</v>
      </c>
      <c r="D195" s="2" t="s">
        <v>801</v>
      </c>
      <c r="E195" s="2" t="s">
        <v>802</v>
      </c>
      <c r="F195" s="2" t="s">
        <v>753</v>
      </c>
      <c r="G195" s="2" t="s">
        <v>753</v>
      </c>
      <c r="H195" s="5" t="n">
        <v>546</v>
      </c>
      <c r="I195" s="6" t="n">
        <f aca="false">INDEX(SUPPLIERS!$D$3:$D$30,MATCH(C195,SUPPLIERS!$A$3:$A$30,0))</f>
        <v>0</v>
      </c>
      <c r="J195" s="5" t="n">
        <f aca="false">H195*(1-I195)</f>
        <v>546</v>
      </c>
      <c r="M195" s="5" t="str">
        <f aca="false">IF(K195="","",J195/K195)</f>
        <v/>
      </c>
      <c r="N195" s="2" t="n">
        <v>0.535</v>
      </c>
      <c r="O195" s="13" t="n">
        <v>0.000669</v>
      </c>
      <c r="P195" s="2" t="s">
        <v>773</v>
      </c>
      <c r="Q195" s="14" t="n">
        <f aca="false">MAX(N195/DRIVERS!$B$5,O195/DRIVERS!$B$6)</f>
        <v>0.000178333333333333</v>
      </c>
      <c r="R195" s="15" t="n">
        <f aca="false">ROUNDDOWN(1/Q195,0)</f>
        <v>5607</v>
      </c>
      <c r="S195" s="5" t="n">
        <f aca="false">DRIVERS!$B$23*Q195/DRIVERS!$B$24</f>
        <v>0.92571510596822</v>
      </c>
      <c r="T195" s="5" t="n">
        <f aca="false">J195*INDEX(DRIVERS!$C$32:$C$42,MATCH(B195,DRIVERS!$A$32:$A$42,0))</f>
        <v>27.3</v>
      </c>
      <c r="U195" s="5" t="n">
        <f aca="false">J195*INDEX(SUPPLIERS!$E$3:$E$30,MATCH(C195,SUPPLIERS!$A$3:$A$30,0))</f>
        <v>0</v>
      </c>
      <c r="V195" s="5" t="n">
        <v>0</v>
      </c>
      <c r="W195" s="5" t="n">
        <f aca="false">J195+S195+T195+U195+V195</f>
        <v>574.225715105968</v>
      </c>
      <c r="X195" s="9" t="n">
        <f aca="false">W195/J195-1</f>
        <v>0.0516954489120298</v>
      </c>
      <c r="Y195" s="6" t="n">
        <f aca="false">INDEX(DRIVERS!$B$32:$B$42,MATCH(B195,DRIVERS!$A$32:$A$42,0))</f>
        <v>0.3</v>
      </c>
      <c r="Z195" s="5" t="n">
        <f aca="false">W195*(1+Y195)</f>
        <v>746.493429637759</v>
      </c>
      <c r="AA195" s="5" t="n">
        <f aca="false">W195*(1+Y195+DRIVERS!$B$26)*(1+DRIVERS!$B$27)</f>
        <v>868.229281240224</v>
      </c>
      <c r="AB195" s="2" t="s">
        <v>205</v>
      </c>
      <c r="AC195" s="8"/>
    </row>
    <row r="196" customFormat="false" ht="15" hidden="false" customHeight="false" outlineLevel="0" collapsed="false">
      <c r="A196" s="2" t="s">
        <v>803</v>
      </c>
      <c r="B196" s="2" t="s">
        <v>750</v>
      </c>
      <c r="C196" s="2" t="s">
        <v>90</v>
      </c>
      <c r="D196" s="2" t="s">
        <v>804</v>
      </c>
      <c r="E196" s="2" t="s">
        <v>805</v>
      </c>
      <c r="F196" s="2" t="s">
        <v>753</v>
      </c>
      <c r="G196" s="2" t="s">
        <v>753</v>
      </c>
      <c r="H196" s="5" t="n">
        <v>52</v>
      </c>
      <c r="I196" s="6" t="n">
        <f aca="false">INDEX(SUPPLIERS!$D$3:$D$30,MATCH(C196,SUPPLIERS!$A$3:$A$30,0))</f>
        <v>0</v>
      </c>
      <c r="J196" s="5" t="n">
        <f aca="false">H196*(1-I196)</f>
        <v>52</v>
      </c>
      <c r="M196" s="5" t="str">
        <f aca="false">IF(K196="","",J196/K196)</f>
        <v/>
      </c>
      <c r="N196" s="2" t="n">
        <v>0.059</v>
      </c>
      <c r="O196" s="13" t="n">
        <v>7.4E-005</v>
      </c>
      <c r="P196" s="2" t="s">
        <v>773</v>
      </c>
      <c r="Q196" s="14" t="n">
        <f aca="false">MAX(N196/DRIVERS!$B$5,O196/DRIVERS!$B$6)</f>
        <v>1.96666666666667E-005</v>
      </c>
      <c r="R196" s="15" t="n">
        <f aca="false">ROUNDDOWN(1/Q196,0)</f>
        <v>50847</v>
      </c>
      <c r="S196" s="5" t="n">
        <f aca="false">DRIVERS!$B$23*Q196/DRIVERS!$B$24</f>
        <v>0.102088207947897</v>
      </c>
      <c r="T196" s="5" t="n">
        <f aca="false">J196*INDEX(DRIVERS!$C$32:$C$42,MATCH(B196,DRIVERS!$A$32:$A$42,0))</f>
        <v>2.6</v>
      </c>
      <c r="U196" s="5" t="n">
        <f aca="false">J196*INDEX(SUPPLIERS!$E$3:$E$30,MATCH(C196,SUPPLIERS!$A$3:$A$30,0))</f>
        <v>0</v>
      </c>
      <c r="V196" s="5" t="n">
        <v>0</v>
      </c>
      <c r="W196" s="5" t="n">
        <f aca="false">J196+S196+T196+U196+V196</f>
        <v>54.7020882079479</v>
      </c>
      <c r="X196" s="9" t="n">
        <f aca="false">W196/J196-1</f>
        <v>0.0519632347682288</v>
      </c>
      <c r="Y196" s="6" t="n">
        <f aca="false">INDEX(DRIVERS!$B$32:$B$42,MATCH(B196,DRIVERS!$A$32:$A$42,0))</f>
        <v>0.3</v>
      </c>
      <c r="Z196" s="5" t="n">
        <f aca="false">W196*(1+Y196)</f>
        <v>71.1127146703323</v>
      </c>
      <c r="AA196" s="5" t="n">
        <f aca="false">W196*(1+Y196+DRIVERS!$B$26)*(1+DRIVERS!$B$27)</f>
        <v>82.7095573704172</v>
      </c>
      <c r="AB196" s="2" t="s">
        <v>205</v>
      </c>
      <c r="AC196" s="8"/>
    </row>
    <row r="197" customFormat="false" ht="15" hidden="false" customHeight="false" outlineLevel="0" collapsed="false">
      <c r="A197" s="2" t="s">
        <v>806</v>
      </c>
      <c r="B197" s="2" t="s">
        <v>750</v>
      </c>
      <c r="C197" s="2" t="s">
        <v>90</v>
      </c>
      <c r="D197" s="2" t="s">
        <v>807</v>
      </c>
      <c r="E197" s="2" t="s">
        <v>808</v>
      </c>
      <c r="F197" s="2" t="s">
        <v>753</v>
      </c>
      <c r="G197" s="2" t="s">
        <v>753</v>
      </c>
      <c r="H197" s="5" t="n">
        <v>70</v>
      </c>
      <c r="I197" s="6" t="n">
        <f aca="false">INDEX(SUPPLIERS!$D$3:$D$30,MATCH(C197,SUPPLIERS!$A$3:$A$30,0))</f>
        <v>0</v>
      </c>
      <c r="J197" s="5" t="n">
        <f aca="false">H197*(1-I197)</f>
        <v>70</v>
      </c>
      <c r="M197" s="5" t="str">
        <f aca="false">IF(K197="","",J197/K197)</f>
        <v/>
      </c>
      <c r="N197" s="2" t="n">
        <v>0.08</v>
      </c>
      <c r="O197" s="13" t="n">
        <v>0.0001</v>
      </c>
      <c r="P197" s="2" t="s">
        <v>773</v>
      </c>
      <c r="Q197" s="14" t="n">
        <f aca="false">MAX(N197/DRIVERS!$B$5,O197/DRIVERS!$B$6)</f>
        <v>2.66666666666667E-005</v>
      </c>
      <c r="R197" s="15" t="n">
        <f aca="false">ROUNDDOWN(1/Q197,0)</f>
        <v>37500</v>
      </c>
      <c r="S197" s="5" t="n">
        <f aca="false">DRIVERS!$B$23*Q197/DRIVERS!$B$24</f>
        <v>0.138424688742911</v>
      </c>
      <c r="T197" s="5" t="n">
        <f aca="false">J197*INDEX(DRIVERS!$C$32:$C$42,MATCH(B197,DRIVERS!$A$32:$A$42,0))</f>
        <v>3.5</v>
      </c>
      <c r="U197" s="5" t="n">
        <f aca="false">J197*INDEX(SUPPLIERS!$E$3:$E$30,MATCH(C197,SUPPLIERS!$A$3:$A$30,0))</f>
        <v>0</v>
      </c>
      <c r="V197" s="5" t="n">
        <v>0</v>
      </c>
      <c r="W197" s="5" t="n">
        <f aca="false">J197+S197+T197+U197+V197</f>
        <v>73.6384246887429</v>
      </c>
      <c r="X197" s="9" t="n">
        <f aca="false">W197/J197-1</f>
        <v>0.0519774955534702</v>
      </c>
      <c r="Y197" s="6" t="n">
        <f aca="false">INDEX(DRIVERS!$B$32:$B$42,MATCH(B197,DRIVERS!$A$32:$A$42,0))</f>
        <v>0.3</v>
      </c>
      <c r="Z197" s="5" t="n">
        <f aca="false">W197*(1+Y197)</f>
        <v>95.7299520953658</v>
      </c>
      <c r="AA197" s="5" t="n">
        <f aca="false">W197*(1+Y197+DRIVERS!$B$26)*(1+DRIVERS!$B$27)</f>
        <v>111.341298129379</v>
      </c>
      <c r="AB197" s="2" t="s">
        <v>205</v>
      </c>
      <c r="AC197" s="8"/>
    </row>
    <row r="198" customFormat="false" ht="15" hidden="false" customHeight="false" outlineLevel="0" collapsed="false">
      <c r="A198" s="2" t="s">
        <v>809</v>
      </c>
      <c r="B198" s="2" t="s">
        <v>750</v>
      </c>
      <c r="C198" s="2" t="s">
        <v>90</v>
      </c>
      <c r="D198" s="2" t="s">
        <v>810</v>
      </c>
      <c r="E198" s="2" t="s">
        <v>811</v>
      </c>
      <c r="F198" s="2" t="s">
        <v>753</v>
      </c>
      <c r="G198" s="2" t="s">
        <v>753</v>
      </c>
      <c r="H198" s="5" t="n">
        <v>92</v>
      </c>
      <c r="I198" s="6" t="n">
        <f aca="false">INDEX(SUPPLIERS!$D$3:$D$30,MATCH(C198,SUPPLIERS!$A$3:$A$30,0))</f>
        <v>0</v>
      </c>
      <c r="J198" s="5" t="n">
        <f aca="false">H198*(1-I198)</f>
        <v>92</v>
      </c>
      <c r="M198" s="5" t="str">
        <f aca="false">IF(K198="","",J198/K198)</f>
        <v/>
      </c>
      <c r="N198" s="2" t="n">
        <v>0.125</v>
      </c>
      <c r="O198" s="13" t="n">
        <v>0.000156</v>
      </c>
      <c r="P198" s="2" t="s">
        <v>773</v>
      </c>
      <c r="Q198" s="14" t="n">
        <f aca="false">MAX(N198/DRIVERS!$B$5,O198/DRIVERS!$B$6)</f>
        <v>4.16666666666667E-005</v>
      </c>
      <c r="R198" s="15" t="n">
        <f aca="false">ROUNDDOWN(1/Q198,0)</f>
        <v>24000</v>
      </c>
      <c r="S198" s="5" t="n">
        <f aca="false">DRIVERS!$B$23*Q198/DRIVERS!$B$24</f>
        <v>0.216288576160799</v>
      </c>
      <c r="T198" s="5" t="n">
        <f aca="false">J198*INDEX(DRIVERS!$C$32:$C$42,MATCH(B198,DRIVERS!$A$32:$A$42,0))</f>
        <v>4.6</v>
      </c>
      <c r="U198" s="5" t="n">
        <f aca="false">J198*INDEX(SUPPLIERS!$E$3:$E$30,MATCH(C198,SUPPLIERS!$A$3:$A$30,0))</f>
        <v>0</v>
      </c>
      <c r="V198" s="5" t="n">
        <v>0</v>
      </c>
      <c r="W198" s="5" t="n">
        <f aca="false">J198+S198+T198+U198+V198</f>
        <v>96.8162885761608</v>
      </c>
      <c r="X198" s="9" t="n">
        <f aca="false">W198/J198-1</f>
        <v>0.0523509627843564</v>
      </c>
      <c r="Y198" s="6" t="n">
        <f aca="false">INDEX(DRIVERS!$B$32:$B$42,MATCH(B198,DRIVERS!$A$32:$A$42,0))</f>
        <v>0.3</v>
      </c>
      <c r="Z198" s="5" t="n">
        <f aca="false">W198*(1+Y198)</f>
        <v>125.861175149009</v>
      </c>
      <c r="AA198" s="5" t="n">
        <f aca="false">W198*(1+Y198+DRIVERS!$B$26)*(1+DRIVERS!$B$27)</f>
        <v>146.386228327155</v>
      </c>
      <c r="AB198" s="2" t="s">
        <v>205</v>
      </c>
      <c r="AC198" s="8"/>
    </row>
    <row r="199" customFormat="false" ht="15" hidden="false" customHeight="false" outlineLevel="0" collapsed="false">
      <c r="A199" s="2" t="s">
        <v>812</v>
      </c>
      <c r="B199" s="2" t="s">
        <v>750</v>
      </c>
      <c r="C199" s="2" t="s">
        <v>90</v>
      </c>
      <c r="D199" s="2" t="s">
        <v>813</v>
      </c>
      <c r="E199" s="2" t="s">
        <v>814</v>
      </c>
      <c r="F199" s="2" t="s">
        <v>753</v>
      </c>
      <c r="G199" s="2" t="s">
        <v>753</v>
      </c>
      <c r="H199" s="5" t="n">
        <v>132</v>
      </c>
      <c r="I199" s="6" t="n">
        <f aca="false">INDEX(SUPPLIERS!$D$3:$D$30,MATCH(C199,SUPPLIERS!$A$3:$A$30,0))</f>
        <v>0</v>
      </c>
      <c r="J199" s="5" t="n">
        <f aca="false">H199*(1-I199)</f>
        <v>132</v>
      </c>
      <c r="M199" s="5" t="str">
        <f aca="false">IF(K199="","",J199/K199)</f>
        <v/>
      </c>
      <c r="N199" s="2" t="n">
        <v>0.17</v>
      </c>
      <c r="O199" s="13" t="n">
        <v>0.000212</v>
      </c>
      <c r="P199" s="2" t="s">
        <v>773</v>
      </c>
      <c r="Q199" s="14" t="n">
        <f aca="false">MAX(N199/DRIVERS!$B$5,O199/DRIVERS!$B$6)</f>
        <v>5.66666666666667E-005</v>
      </c>
      <c r="R199" s="15" t="n">
        <f aca="false">ROUNDDOWN(1/Q199,0)</f>
        <v>17647</v>
      </c>
      <c r="S199" s="5" t="n">
        <f aca="false">DRIVERS!$B$23*Q199/DRIVERS!$B$24</f>
        <v>0.294152463578687</v>
      </c>
      <c r="T199" s="5" t="n">
        <f aca="false">J199*INDEX(DRIVERS!$C$32:$C$42,MATCH(B199,DRIVERS!$A$32:$A$42,0))</f>
        <v>6.6</v>
      </c>
      <c r="U199" s="5" t="n">
        <f aca="false">J199*INDEX(SUPPLIERS!$E$3:$E$30,MATCH(C199,SUPPLIERS!$A$3:$A$30,0))</f>
        <v>0</v>
      </c>
      <c r="V199" s="5" t="n">
        <v>0</v>
      </c>
      <c r="W199" s="5" t="n">
        <f aca="false">J199+S199+T199+U199+V199</f>
        <v>138.894152463579</v>
      </c>
      <c r="X199" s="9" t="n">
        <f aca="false">W199/J199-1</f>
        <v>0.0522284277543839</v>
      </c>
      <c r="Y199" s="6" t="n">
        <f aca="false">INDEX(DRIVERS!$B$32:$B$42,MATCH(B199,DRIVERS!$A$32:$A$42,0))</f>
        <v>0.3</v>
      </c>
      <c r="Z199" s="5" t="n">
        <f aca="false">W199*(1+Y199)</f>
        <v>180.562398202652</v>
      </c>
      <c r="AA199" s="5" t="n">
        <f aca="false">W199*(1+Y199+DRIVERS!$B$26)*(1+DRIVERS!$B$27)</f>
        <v>210.007958524931</v>
      </c>
      <c r="AB199" s="2" t="s">
        <v>205</v>
      </c>
      <c r="AC199" s="8"/>
    </row>
    <row r="200" customFormat="false" ht="15" hidden="false" customHeight="false" outlineLevel="0" collapsed="false">
      <c r="A200" s="2" t="s">
        <v>815</v>
      </c>
      <c r="B200" s="2" t="s">
        <v>750</v>
      </c>
      <c r="C200" s="2" t="s">
        <v>90</v>
      </c>
      <c r="D200" s="2" t="s">
        <v>816</v>
      </c>
      <c r="F200" s="2" t="s">
        <v>186</v>
      </c>
      <c r="G200" s="2" t="s">
        <v>186</v>
      </c>
      <c r="H200" s="5" t="n">
        <v>25</v>
      </c>
      <c r="I200" s="6" t="n">
        <f aca="false">INDEX(SUPPLIERS!$D$3:$D$30,MATCH(C200,SUPPLIERS!$A$3:$A$30,0))</f>
        <v>0</v>
      </c>
      <c r="J200" s="5" t="n">
        <f aca="false">H200*(1-I200)</f>
        <v>25</v>
      </c>
      <c r="M200" s="5" t="str">
        <f aca="false">IF(K200="","",J200/K200)</f>
        <v/>
      </c>
      <c r="N200" s="2" t="n">
        <v>0.01</v>
      </c>
      <c r="O200" s="13" t="n">
        <v>2E-005</v>
      </c>
      <c r="P200" s="2" t="s">
        <v>817</v>
      </c>
      <c r="Q200" s="14" t="n">
        <f aca="false">MAX(N200/DRIVERS!$B$5,O200/DRIVERS!$B$6)</f>
        <v>3.33333333333333E-006</v>
      </c>
      <c r="R200" s="15" t="n">
        <f aca="false">ROUNDDOWN(1/Q200,0)</f>
        <v>300000</v>
      </c>
      <c r="S200" s="5" t="n">
        <f aca="false">DRIVERS!$B$23*Q200/DRIVERS!$B$24</f>
        <v>0.0173030860928639</v>
      </c>
      <c r="T200" s="5" t="n">
        <f aca="false">J200*INDEX(DRIVERS!$C$32:$C$42,MATCH(B200,DRIVERS!$A$32:$A$42,0))</f>
        <v>1.25</v>
      </c>
      <c r="U200" s="5" t="n">
        <f aca="false">J200*INDEX(SUPPLIERS!$E$3:$E$30,MATCH(C200,SUPPLIERS!$A$3:$A$30,0))</f>
        <v>0</v>
      </c>
      <c r="V200" s="5" t="n">
        <v>0</v>
      </c>
      <c r="W200" s="5" t="n">
        <f aca="false">J200+S200+T200+U200+V200</f>
        <v>26.2673030860929</v>
      </c>
      <c r="X200" s="9" t="n">
        <f aca="false">W200/J200-1</f>
        <v>0.0506921234437145</v>
      </c>
      <c r="Y200" s="6" t="n">
        <f aca="false">INDEX(DRIVERS!$B$32:$B$42,MATCH(B200,DRIVERS!$A$32:$A$42,0))</f>
        <v>0.3</v>
      </c>
      <c r="Z200" s="5" t="n">
        <f aca="false">W200*(1+Y200)</f>
        <v>34.1474940119207</v>
      </c>
      <c r="AA200" s="5" t="n">
        <f aca="false">W200*(1+Y200+DRIVERS!$B$26)*(1+DRIVERS!$B$27)</f>
        <v>39.7161622661724</v>
      </c>
      <c r="AB200" s="2" t="s">
        <v>205</v>
      </c>
      <c r="AC200" s="8"/>
    </row>
    <row r="201" customFormat="false" ht="15" hidden="false" customHeight="false" outlineLevel="0" collapsed="false">
      <c r="A201" s="2" t="s">
        <v>818</v>
      </c>
      <c r="B201" s="2" t="s">
        <v>750</v>
      </c>
      <c r="C201" s="2" t="s">
        <v>90</v>
      </c>
      <c r="D201" s="2" t="s">
        <v>819</v>
      </c>
      <c r="E201" s="2" t="s">
        <v>820</v>
      </c>
      <c r="F201" s="2" t="s">
        <v>186</v>
      </c>
      <c r="G201" s="2" t="s">
        <v>186</v>
      </c>
      <c r="H201" s="5" t="n">
        <v>50</v>
      </c>
      <c r="I201" s="6" t="n">
        <f aca="false">INDEX(SUPPLIERS!$D$3:$D$30,MATCH(C201,SUPPLIERS!$A$3:$A$30,0))</f>
        <v>0</v>
      </c>
      <c r="J201" s="5" t="n">
        <f aca="false">H201*(1-I201)</f>
        <v>50</v>
      </c>
      <c r="M201" s="5" t="str">
        <f aca="false">IF(K201="","",J201/K201)</f>
        <v/>
      </c>
      <c r="N201" s="2" t="n">
        <v>0.014</v>
      </c>
      <c r="O201" s="13" t="n">
        <v>2.8E-005</v>
      </c>
      <c r="P201" s="2" t="s">
        <v>817</v>
      </c>
      <c r="Q201" s="14" t="n">
        <f aca="false">MAX(N201/DRIVERS!$B$5,O201/DRIVERS!$B$6)</f>
        <v>4.66666666666667E-006</v>
      </c>
      <c r="R201" s="15" t="n">
        <f aca="false">ROUNDDOWN(1/Q201,0)</f>
        <v>214285</v>
      </c>
      <c r="S201" s="5" t="n">
        <f aca="false">DRIVERS!$B$23*Q201/DRIVERS!$B$24</f>
        <v>0.0242243205300095</v>
      </c>
      <c r="T201" s="5" t="n">
        <f aca="false">J201*INDEX(DRIVERS!$C$32:$C$42,MATCH(B201,DRIVERS!$A$32:$A$42,0))</f>
        <v>2.5</v>
      </c>
      <c r="U201" s="5" t="n">
        <f aca="false">J201*INDEX(SUPPLIERS!$E$3:$E$30,MATCH(C201,SUPPLIERS!$A$3:$A$30,0))</f>
        <v>0</v>
      </c>
      <c r="V201" s="5" t="n">
        <v>0</v>
      </c>
      <c r="W201" s="5" t="n">
        <f aca="false">J201+S201+T201+U201+V201</f>
        <v>52.52422432053</v>
      </c>
      <c r="X201" s="9" t="n">
        <f aca="false">W201/J201-1</f>
        <v>0.0504844864106002</v>
      </c>
      <c r="Y201" s="6" t="n">
        <f aca="false">INDEX(DRIVERS!$B$32:$B$42,MATCH(B201,DRIVERS!$A$32:$A$42,0))</f>
        <v>0.3</v>
      </c>
      <c r="Z201" s="5" t="n">
        <f aca="false">W201*(1+Y201)</f>
        <v>68.281491616689</v>
      </c>
      <c r="AA201" s="5" t="n">
        <f aca="false">W201*(1+Y201+DRIVERS!$B$26)*(1+DRIVERS!$B$27)</f>
        <v>79.4166271726414</v>
      </c>
      <c r="AB201" s="2" t="s">
        <v>205</v>
      </c>
      <c r="AC201" s="8"/>
    </row>
    <row r="202" customFormat="false" ht="15" hidden="false" customHeight="false" outlineLevel="0" collapsed="false">
      <c r="A202" s="2" t="s">
        <v>821</v>
      </c>
      <c r="B202" s="2" t="s">
        <v>750</v>
      </c>
      <c r="C202" s="2" t="s">
        <v>90</v>
      </c>
      <c r="D202" s="2" t="s">
        <v>822</v>
      </c>
      <c r="E202" s="2" t="s">
        <v>823</v>
      </c>
      <c r="F202" s="2" t="s">
        <v>186</v>
      </c>
      <c r="G202" s="2" t="s">
        <v>186</v>
      </c>
      <c r="H202" s="5" t="n">
        <v>90</v>
      </c>
      <c r="I202" s="6" t="n">
        <f aca="false">INDEX(SUPPLIERS!$D$3:$D$30,MATCH(C202,SUPPLIERS!$A$3:$A$30,0))</f>
        <v>0</v>
      </c>
      <c r="J202" s="5" t="n">
        <f aca="false">H202*(1-I202)</f>
        <v>90</v>
      </c>
      <c r="M202" s="5" t="str">
        <f aca="false">IF(K202="","",J202/K202)</f>
        <v/>
      </c>
      <c r="N202" s="2" t="n">
        <v>0.0095</v>
      </c>
      <c r="O202" s="13" t="n">
        <v>1.9E-005</v>
      </c>
      <c r="P202" s="2" t="s">
        <v>817</v>
      </c>
      <c r="Q202" s="14" t="n">
        <f aca="false">MAX(N202/DRIVERS!$B$5,O202/DRIVERS!$B$6)</f>
        <v>3.16666666666667E-006</v>
      </c>
      <c r="R202" s="15" t="n">
        <f aca="false">ROUNDDOWN(1/Q202,0)</f>
        <v>315789</v>
      </c>
      <c r="S202" s="5" t="n">
        <f aca="false">DRIVERS!$B$23*Q202/DRIVERS!$B$24</f>
        <v>0.0164379317882207</v>
      </c>
      <c r="T202" s="5" t="n">
        <f aca="false">J202*INDEX(DRIVERS!$C$32:$C$42,MATCH(B202,DRIVERS!$A$32:$A$42,0))</f>
        <v>4.5</v>
      </c>
      <c r="U202" s="5" t="n">
        <f aca="false">J202*INDEX(SUPPLIERS!$E$3:$E$30,MATCH(C202,SUPPLIERS!$A$3:$A$30,0))</f>
        <v>0</v>
      </c>
      <c r="V202" s="5" t="n">
        <v>0</v>
      </c>
      <c r="W202" s="5" t="n">
        <f aca="false">J202+S202+T202+U202+V202</f>
        <v>94.5164379317882</v>
      </c>
      <c r="X202" s="9" t="n">
        <f aca="false">W202/J202-1</f>
        <v>0.0501826436865358</v>
      </c>
      <c r="Y202" s="6" t="n">
        <f aca="false">INDEX(DRIVERS!$B$32:$B$42,MATCH(B202,DRIVERS!$A$32:$A$42,0))</f>
        <v>0.3</v>
      </c>
      <c r="Z202" s="5" t="n">
        <f aca="false">W202*(1+Y202)</f>
        <v>122.871369311325</v>
      </c>
      <c r="AA202" s="5" t="n">
        <f aca="false">W202*(1+Y202+DRIVERS!$B$26)*(1+DRIVERS!$B$27)</f>
        <v>142.908854152864</v>
      </c>
      <c r="AB202" s="2" t="s">
        <v>205</v>
      </c>
      <c r="AC202" s="8"/>
    </row>
    <row r="203" customFormat="false" ht="15" hidden="false" customHeight="false" outlineLevel="0" collapsed="false">
      <c r="A203" s="2" t="s">
        <v>824</v>
      </c>
      <c r="B203" s="2" t="s">
        <v>750</v>
      </c>
      <c r="C203" s="2" t="s">
        <v>90</v>
      </c>
      <c r="D203" s="2" t="s">
        <v>825</v>
      </c>
      <c r="E203" s="2" t="s">
        <v>826</v>
      </c>
      <c r="F203" s="2" t="s">
        <v>186</v>
      </c>
      <c r="G203" s="2" t="s">
        <v>186</v>
      </c>
      <c r="H203" s="5" t="n">
        <v>150</v>
      </c>
      <c r="I203" s="6" t="n">
        <f aca="false">INDEX(SUPPLIERS!$D$3:$D$30,MATCH(C203,SUPPLIERS!$A$3:$A$30,0))</f>
        <v>0</v>
      </c>
      <c r="J203" s="5" t="n">
        <f aca="false">H203*(1-I203)</f>
        <v>150</v>
      </c>
      <c r="M203" s="5" t="str">
        <f aca="false">IF(K203="","",J203/K203)</f>
        <v/>
      </c>
      <c r="N203" s="2" t="n">
        <v>0.0159</v>
      </c>
      <c r="O203" s="13" t="n">
        <v>3.2E-005</v>
      </c>
      <c r="P203" s="2" t="s">
        <v>817</v>
      </c>
      <c r="Q203" s="14" t="n">
        <f aca="false">MAX(N203/DRIVERS!$B$5,O203/DRIVERS!$B$6)</f>
        <v>5.3E-006</v>
      </c>
      <c r="R203" s="15" t="n">
        <f aca="false">ROUNDDOWN(1/Q203,0)</f>
        <v>188679</v>
      </c>
      <c r="S203" s="5" t="n">
        <f aca="false">DRIVERS!$B$23*Q203/DRIVERS!$B$24</f>
        <v>0.0275119068876537</v>
      </c>
      <c r="T203" s="5" t="n">
        <f aca="false">J203*INDEX(DRIVERS!$C$32:$C$42,MATCH(B203,DRIVERS!$A$32:$A$42,0))</f>
        <v>7.5</v>
      </c>
      <c r="U203" s="5" t="n">
        <f aca="false">J203*INDEX(SUPPLIERS!$E$3:$E$30,MATCH(C203,SUPPLIERS!$A$3:$A$30,0))</f>
        <v>0</v>
      </c>
      <c r="V203" s="5" t="n">
        <v>0</v>
      </c>
      <c r="W203" s="5" t="n">
        <f aca="false">J203+S203+T203+U203+V203</f>
        <v>157.527511906888</v>
      </c>
      <c r="X203" s="9" t="n">
        <f aca="false">W203/J203-1</f>
        <v>0.0501834127125844</v>
      </c>
      <c r="Y203" s="6" t="n">
        <f aca="false">INDEX(DRIVERS!$B$32:$B$42,MATCH(B203,DRIVERS!$A$32:$A$42,0))</f>
        <v>0.3</v>
      </c>
      <c r="Z203" s="5" t="n">
        <f aca="false">W203*(1+Y203)</f>
        <v>204.785765478954</v>
      </c>
      <c r="AA203" s="5" t="n">
        <f aca="false">W203*(1+Y203+DRIVERS!$B$26)*(1+DRIVERS!$B$27)</f>
        <v>238.181598003214</v>
      </c>
      <c r="AB203" s="2" t="s">
        <v>205</v>
      </c>
      <c r="AC203" s="8"/>
    </row>
    <row r="204" customFormat="false" ht="15" hidden="false" customHeight="false" outlineLevel="0" collapsed="false">
      <c r="A204" s="2" t="s">
        <v>827</v>
      </c>
      <c r="B204" s="2" t="s">
        <v>750</v>
      </c>
      <c r="C204" s="2" t="s">
        <v>90</v>
      </c>
      <c r="D204" s="2" t="s">
        <v>828</v>
      </c>
      <c r="E204" s="2" t="s">
        <v>695</v>
      </c>
      <c r="F204" s="2" t="s">
        <v>186</v>
      </c>
      <c r="G204" s="2" t="s">
        <v>186</v>
      </c>
      <c r="H204" s="5" t="n">
        <v>180</v>
      </c>
      <c r="I204" s="6" t="n">
        <f aca="false">INDEX(SUPPLIERS!$D$3:$D$30,MATCH(C204,SUPPLIERS!$A$3:$A$30,0))</f>
        <v>0</v>
      </c>
      <c r="J204" s="5" t="n">
        <f aca="false">H204*(1-I204)</f>
        <v>180</v>
      </c>
      <c r="M204" s="5" t="str">
        <f aca="false">IF(K204="","",J204/K204)</f>
        <v/>
      </c>
      <c r="N204" s="2" t="n">
        <v>0.0147</v>
      </c>
      <c r="O204" s="13" t="n">
        <v>2.9E-005</v>
      </c>
      <c r="P204" s="2" t="s">
        <v>817</v>
      </c>
      <c r="Q204" s="14" t="n">
        <f aca="false">MAX(N204/DRIVERS!$B$5,O204/DRIVERS!$B$6)</f>
        <v>4.9E-006</v>
      </c>
      <c r="R204" s="15" t="n">
        <f aca="false">ROUNDDOWN(1/Q204,0)</f>
        <v>204081</v>
      </c>
      <c r="S204" s="5" t="n">
        <f aca="false">DRIVERS!$B$23*Q204/DRIVERS!$B$24</f>
        <v>0.02543553655651</v>
      </c>
      <c r="T204" s="5" t="n">
        <f aca="false">J204*INDEX(DRIVERS!$C$32:$C$42,MATCH(B204,DRIVERS!$A$32:$A$42,0))</f>
        <v>9</v>
      </c>
      <c r="U204" s="5" t="n">
        <f aca="false">J204*INDEX(SUPPLIERS!$E$3:$E$30,MATCH(C204,SUPPLIERS!$A$3:$A$30,0))</f>
        <v>0</v>
      </c>
      <c r="V204" s="5" t="n">
        <v>0</v>
      </c>
      <c r="W204" s="5" t="n">
        <f aca="false">J204+S204+T204+U204+V204</f>
        <v>189.025435536557</v>
      </c>
      <c r="X204" s="9" t="n">
        <f aca="false">W204/J204-1</f>
        <v>0.0501413085364251</v>
      </c>
      <c r="Y204" s="6" t="n">
        <f aca="false">INDEX(DRIVERS!$B$32:$B$42,MATCH(B204,DRIVERS!$A$32:$A$42,0))</f>
        <v>0.3</v>
      </c>
      <c r="Z204" s="5" t="n">
        <f aca="false">W204*(1+Y204)</f>
        <v>245.733066197523</v>
      </c>
      <c r="AA204" s="5" t="n">
        <f aca="false">W204*(1+Y204+DRIVERS!$B$26)*(1+DRIVERS!$B$27)</f>
        <v>285.806458531273</v>
      </c>
      <c r="AB204" s="2" t="s">
        <v>205</v>
      </c>
      <c r="AC204" s="8"/>
    </row>
    <row r="205" customFormat="false" ht="15" hidden="false" customHeight="false" outlineLevel="0" collapsed="false">
      <c r="A205" s="2" t="s">
        <v>829</v>
      </c>
      <c r="B205" s="2" t="s">
        <v>750</v>
      </c>
      <c r="C205" s="2" t="s">
        <v>90</v>
      </c>
      <c r="D205" s="2" t="s">
        <v>830</v>
      </c>
      <c r="F205" s="2" t="s">
        <v>186</v>
      </c>
      <c r="G205" s="2" t="s">
        <v>186</v>
      </c>
      <c r="H205" s="5" t="n">
        <v>230</v>
      </c>
      <c r="I205" s="6" t="n">
        <f aca="false">INDEX(SUPPLIERS!$D$3:$D$30,MATCH(C205,SUPPLIERS!$A$3:$A$30,0))</f>
        <v>0</v>
      </c>
      <c r="J205" s="5" t="n">
        <f aca="false">H205*(1-I205)</f>
        <v>230</v>
      </c>
      <c r="M205" s="5" t="str">
        <f aca="false">IF(K205="","",J205/K205)</f>
        <v/>
      </c>
      <c r="N205" s="2" t="n">
        <v>0.028</v>
      </c>
      <c r="O205" s="13" t="n">
        <v>5.6E-005</v>
      </c>
      <c r="P205" s="2" t="s">
        <v>817</v>
      </c>
      <c r="Q205" s="14" t="n">
        <f aca="false">MAX(N205/DRIVERS!$B$5,O205/DRIVERS!$B$6)</f>
        <v>9.33333333333333E-006</v>
      </c>
      <c r="R205" s="15" t="n">
        <f aca="false">ROUNDDOWN(1/Q205,0)</f>
        <v>107142</v>
      </c>
      <c r="S205" s="5" t="n">
        <f aca="false">DRIVERS!$B$23*Q205/DRIVERS!$B$24</f>
        <v>0.048448641060019</v>
      </c>
      <c r="T205" s="5" t="n">
        <f aca="false">J205*INDEX(DRIVERS!$C$32:$C$42,MATCH(B205,DRIVERS!$A$32:$A$42,0))</f>
        <v>11.5</v>
      </c>
      <c r="U205" s="5" t="n">
        <f aca="false">J205*INDEX(SUPPLIERS!$E$3:$E$30,MATCH(C205,SUPPLIERS!$A$3:$A$30,0))</f>
        <v>0</v>
      </c>
      <c r="V205" s="5" t="n">
        <v>0</v>
      </c>
      <c r="W205" s="5" t="n">
        <f aca="false">J205+S205+T205+U205+V205</f>
        <v>241.54844864106</v>
      </c>
      <c r="X205" s="9" t="n">
        <f aca="false">W205/J205-1</f>
        <v>0.0502106462654783</v>
      </c>
      <c r="Y205" s="6" t="n">
        <f aca="false">INDEX(DRIVERS!$B$32:$B$42,MATCH(B205,DRIVERS!$A$32:$A$42,0))</f>
        <v>0.3</v>
      </c>
      <c r="Z205" s="5" t="n">
        <f aca="false">W205*(1+Y205)</f>
        <v>314.012983233378</v>
      </c>
      <c r="AA205" s="5" t="n">
        <f aca="false">W205*(1+Y205+DRIVERS!$B$26)*(1+DRIVERS!$B$27)</f>
        <v>365.221254345283</v>
      </c>
      <c r="AB205" s="2" t="s">
        <v>205</v>
      </c>
      <c r="AC205" s="8"/>
    </row>
    <row r="206" customFormat="false" ht="15" hidden="false" customHeight="false" outlineLevel="0" collapsed="false">
      <c r="A206" s="2" t="s">
        <v>831</v>
      </c>
      <c r="B206" s="2" t="s">
        <v>750</v>
      </c>
      <c r="C206" s="2" t="s">
        <v>90</v>
      </c>
      <c r="D206" s="2" t="s">
        <v>832</v>
      </c>
      <c r="F206" s="2" t="s">
        <v>186</v>
      </c>
      <c r="G206" s="2" t="s">
        <v>186</v>
      </c>
      <c r="H206" s="5" t="n">
        <v>280</v>
      </c>
      <c r="I206" s="6" t="n">
        <f aca="false">INDEX(SUPPLIERS!$D$3:$D$30,MATCH(C206,SUPPLIERS!$A$3:$A$30,0))</f>
        <v>0</v>
      </c>
      <c r="J206" s="5" t="n">
        <f aca="false">H206*(1-I206)</f>
        <v>280</v>
      </c>
      <c r="M206" s="5" t="str">
        <f aca="false">IF(K206="","",J206/K206)</f>
        <v/>
      </c>
      <c r="N206" s="2" t="n">
        <v>0.063</v>
      </c>
      <c r="O206" s="13" t="n">
        <v>0.000126</v>
      </c>
      <c r="P206" s="2" t="s">
        <v>817</v>
      </c>
      <c r="Q206" s="14" t="n">
        <f aca="false">MAX(N206/DRIVERS!$B$5,O206/DRIVERS!$B$6)</f>
        <v>2.1E-005</v>
      </c>
      <c r="R206" s="15" t="n">
        <f aca="false">ROUNDDOWN(1/Q206,0)</f>
        <v>47619</v>
      </c>
      <c r="S206" s="5" t="n">
        <f aca="false">DRIVERS!$B$23*Q206/DRIVERS!$B$24</f>
        <v>0.109009442385043</v>
      </c>
      <c r="T206" s="5" t="n">
        <f aca="false">J206*INDEX(DRIVERS!$C$32:$C$42,MATCH(B206,DRIVERS!$A$32:$A$42,0))</f>
        <v>14</v>
      </c>
      <c r="U206" s="5" t="n">
        <f aca="false">J206*INDEX(SUPPLIERS!$E$3:$E$30,MATCH(C206,SUPPLIERS!$A$3:$A$30,0))</f>
        <v>0</v>
      </c>
      <c r="V206" s="5" t="n">
        <v>0</v>
      </c>
      <c r="W206" s="5" t="n">
        <f aca="false">J206+S206+T206+U206+V206</f>
        <v>294.109009442385</v>
      </c>
      <c r="X206" s="9" t="n">
        <f aca="false">W206/J206-1</f>
        <v>0.0503893194370895</v>
      </c>
      <c r="Y206" s="6" t="n">
        <f aca="false">INDEX(DRIVERS!$B$32:$B$42,MATCH(B206,DRIVERS!$A$32:$A$42,0))</f>
        <v>0.3</v>
      </c>
      <c r="Z206" s="5" t="n">
        <f aca="false">W206*(1+Y206)</f>
        <v>382.341712275101</v>
      </c>
      <c r="AA206" s="5" t="n">
        <f aca="false">W206*(1+Y206+DRIVERS!$B$26)*(1+DRIVERS!$B$27)</f>
        <v>444.692822276886</v>
      </c>
      <c r="AB206" s="2" t="s">
        <v>205</v>
      </c>
      <c r="AC206" s="8"/>
    </row>
    <row r="207" customFormat="false" ht="15" hidden="false" customHeight="false" outlineLevel="0" collapsed="false">
      <c r="A207" s="2" t="s">
        <v>833</v>
      </c>
      <c r="B207" s="2" t="s">
        <v>750</v>
      </c>
      <c r="C207" s="2" t="s">
        <v>90</v>
      </c>
      <c r="D207" s="2" t="s">
        <v>834</v>
      </c>
      <c r="E207" s="2" t="s">
        <v>835</v>
      </c>
      <c r="F207" s="2" t="s">
        <v>186</v>
      </c>
      <c r="G207" s="2" t="s">
        <v>186</v>
      </c>
      <c r="H207" s="5" t="n">
        <v>300</v>
      </c>
      <c r="I207" s="6" t="n">
        <f aca="false">INDEX(SUPPLIERS!$D$3:$D$30,MATCH(C207,SUPPLIERS!$A$3:$A$30,0))</f>
        <v>0</v>
      </c>
      <c r="J207" s="5" t="n">
        <f aca="false">H207*(1-I207)</f>
        <v>300</v>
      </c>
      <c r="M207" s="5" t="str">
        <f aca="false">IF(K207="","",J207/K207)</f>
        <v/>
      </c>
      <c r="N207" s="2" t="n">
        <v>0.064</v>
      </c>
      <c r="O207" s="13" t="n">
        <v>0.000128</v>
      </c>
      <c r="P207" s="2" t="s">
        <v>817</v>
      </c>
      <c r="Q207" s="14" t="n">
        <f aca="false">MAX(N207/DRIVERS!$B$5,O207/DRIVERS!$B$6)</f>
        <v>2.13333333333333E-005</v>
      </c>
      <c r="R207" s="15" t="n">
        <f aca="false">ROUNDDOWN(1/Q207,0)</f>
        <v>46875</v>
      </c>
      <c r="S207" s="5" t="n">
        <f aca="false">DRIVERS!$B$23*Q207/DRIVERS!$B$24</f>
        <v>0.110739750994329</v>
      </c>
      <c r="T207" s="5" t="n">
        <f aca="false">J207*INDEX(DRIVERS!$C$32:$C$42,MATCH(B207,DRIVERS!$A$32:$A$42,0))</f>
        <v>15</v>
      </c>
      <c r="U207" s="5" t="n">
        <f aca="false">J207*INDEX(SUPPLIERS!$E$3:$E$30,MATCH(C207,SUPPLIERS!$A$3:$A$30,0))</f>
        <v>0</v>
      </c>
      <c r="V207" s="5" t="n">
        <v>0</v>
      </c>
      <c r="W207" s="5" t="n">
        <f aca="false">J207+S207+T207+U207+V207</f>
        <v>315.110739750994</v>
      </c>
      <c r="X207" s="9" t="n">
        <f aca="false">W207/J207-1</f>
        <v>0.0503691325033144</v>
      </c>
      <c r="Y207" s="6" t="n">
        <f aca="false">INDEX(DRIVERS!$B$32:$B$42,MATCH(B207,DRIVERS!$A$32:$A$42,0))</f>
        <v>0.3</v>
      </c>
      <c r="Z207" s="5" t="n">
        <f aca="false">W207*(1+Y207)</f>
        <v>409.643961676293</v>
      </c>
      <c r="AA207" s="5" t="n">
        <f aca="false">W207*(1+Y207+DRIVERS!$B$26)*(1+DRIVERS!$B$27)</f>
        <v>476.447438503504</v>
      </c>
      <c r="AB207" s="2" t="s">
        <v>205</v>
      </c>
      <c r="AC207" s="8"/>
    </row>
    <row r="208" customFormat="false" ht="15" hidden="false" customHeight="false" outlineLevel="0" collapsed="false">
      <c r="A208" s="2" t="s">
        <v>836</v>
      </c>
      <c r="B208" s="2" t="s">
        <v>750</v>
      </c>
      <c r="C208" s="2" t="s">
        <v>90</v>
      </c>
      <c r="D208" s="2" t="s">
        <v>837</v>
      </c>
      <c r="F208" s="2" t="s">
        <v>186</v>
      </c>
      <c r="G208" s="2" t="s">
        <v>186</v>
      </c>
      <c r="H208" s="5" t="n">
        <v>300</v>
      </c>
      <c r="I208" s="6" t="n">
        <f aca="false">INDEX(SUPPLIERS!$D$3:$D$30,MATCH(C208,SUPPLIERS!$A$3:$A$30,0))</f>
        <v>0</v>
      </c>
      <c r="J208" s="5" t="n">
        <f aca="false">H208*(1-I208)</f>
        <v>300</v>
      </c>
      <c r="M208" s="5" t="str">
        <f aca="false">IF(K208="","",J208/K208)</f>
        <v/>
      </c>
      <c r="N208" s="2" t="n">
        <v>0.12</v>
      </c>
      <c r="O208" s="13" t="n">
        <v>0.00024</v>
      </c>
      <c r="P208" s="2" t="s">
        <v>817</v>
      </c>
      <c r="Q208" s="14" t="n">
        <f aca="false">MAX(N208/DRIVERS!$B$5,O208/DRIVERS!$B$6)</f>
        <v>4E-005</v>
      </c>
      <c r="R208" s="15" t="n">
        <f aca="false">ROUNDDOWN(1/Q208,0)</f>
        <v>25000</v>
      </c>
      <c r="S208" s="5" t="n">
        <f aca="false">DRIVERS!$B$23*Q208/DRIVERS!$B$24</f>
        <v>0.207637033114367</v>
      </c>
      <c r="T208" s="5" t="n">
        <f aca="false">J208*INDEX(DRIVERS!$C$32:$C$42,MATCH(B208,DRIVERS!$A$32:$A$42,0))</f>
        <v>15</v>
      </c>
      <c r="U208" s="5" t="n">
        <f aca="false">J208*INDEX(SUPPLIERS!$E$3:$E$30,MATCH(C208,SUPPLIERS!$A$3:$A$30,0))</f>
        <v>0</v>
      </c>
      <c r="V208" s="5" t="n">
        <v>0</v>
      </c>
      <c r="W208" s="5" t="n">
        <f aca="false">J208+S208+T208+U208+V208</f>
        <v>315.207637033114</v>
      </c>
      <c r="X208" s="9" t="n">
        <f aca="false">W208/J208-1</f>
        <v>0.0506921234437145</v>
      </c>
      <c r="Y208" s="6" t="n">
        <f aca="false">INDEX(DRIVERS!$B$32:$B$42,MATCH(B208,DRIVERS!$A$32:$A$42,0))</f>
        <v>0.3</v>
      </c>
      <c r="Z208" s="5" t="n">
        <f aca="false">W208*(1+Y208)</f>
        <v>409.769928143049</v>
      </c>
      <c r="AA208" s="5" t="n">
        <f aca="false">W208*(1+Y208+DRIVERS!$B$26)*(1+DRIVERS!$B$27)</f>
        <v>476.593947194069</v>
      </c>
      <c r="AB208" s="2" t="s">
        <v>205</v>
      </c>
      <c r="AC208" s="8"/>
    </row>
    <row r="209" customFormat="false" ht="15" hidden="false" customHeight="false" outlineLevel="0" collapsed="false">
      <c r="A209" s="2" t="s">
        <v>67</v>
      </c>
      <c r="B209" s="2" t="s">
        <v>750</v>
      </c>
      <c r="C209" s="2" t="s">
        <v>90</v>
      </c>
      <c r="D209" s="2" t="s">
        <v>838</v>
      </c>
      <c r="E209" s="2" t="s">
        <v>839</v>
      </c>
      <c r="F209" s="2" t="s">
        <v>840</v>
      </c>
      <c r="G209" s="2" t="s">
        <v>840</v>
      </c>
      <c r="H209" s="5" t="n">
        <v>40</v>
      </c>
      <c r="I209" s="6" t="n">
        <f aca="false">INDEX(SUPPLIERS!$D$3:$D$30,MATCH(C209,SUPPLIERS!$A$3:$A$30,0))</f>
        <v>0</v>
      </c>
      <c r="J209" s="5" t="n">
        <f aca="false">H209*(1-I209)</f>
        <v>40</v>
      </c>
      <c r="M209" s="5" t="str">
        <f aca="false">IF(K209="","",J209/K209)</f>
        <v/>
      </c>
      <c r="N209" s="2" t="n">
        <v>0.021</v>
      </c>
      <c r="O209" s="13" t="n">
        <v>4.2E-005</v>
      </c>
      <c r="P209" s="2" t="s">
        <v>817</v>
      </c>
      <c r="Q209" s="14" t="n">
        <f aca="false">MAX(N209/DRIVERS!$B$5,O209/DRIVERS!$B$6)</f>
        <v>7E-006</v>
      </c>
      <c r="R209" s="15" t="n">
        <f aca="false">ROUNDDOWN(1/Q209,0)</f>
        <v>142857</v>
      </c>
      <c r="S209" s="5" t="n">
        <f aca="false">DRIVERS!$B$23*Q209/DRIVERS!$B$24</f>
        <v>0.0363364807950143</v>
      </c>
      <c r="T209" s="5" t="n">
        <f aca="false">J209*INDEX(DRIVERS!$C$32:$C$42,MATCH(B209,DRIVERS!$A$32:$A$42,0))</f>
        <v>2</v>
      </c>
      <c r="U209" s="5" t="n">
        <f aca="false">J209*INDEX(SUPPLIERS!$E$3:$E$30,MATCH(C209,SUPPLIERS!$A$3:$A$30,0))</f>
        <v>0</v>
      </c>
      <c r="V209" s="5" t="n">
        <v>0</v>
      </c>
      <c r="W209" s="5" t="n">
        <f aca="false">J209+S209+T209+U209+V209</f>
        <v>42.036336480795</v>
      </c>
      <c r="X209" s="9" t="n">
        <f aca="false">W209/J209-1</f>
        <v>0.0509084120198753</v>
      </c>
      <c r="Y209" s="6" t="n">
        <f aca="false">INDEX(DRIVERS!$B$32:$B$42,MATCH(B209,DRIVERS!$A$32:$A$42,0))</f>
        <v>0.3</v>
      </c>
      <c r="Z209" s="5" t="n">
        <f aca="false">W209*(1+Y209)</f>
        <v>54.6472374250335</v>
      </c>
      <c r="AA209" s="5" t="n">
        <f aca="false">W209*(1+Y209+DRIVERS!$B$26)*(1+DRIVERS!$B$27)</f>
        <v>63.5589407589621</v>
      </c>
      <c r="AB209" s="2" t="s">
        <v>205</v>
      </c>
      <c r="AC209" s="8"/>
    </row>
    <row r="210" customFormat="false" ht="15" hidden="false" customHeight="false" outlineLevel="0" collapsed="false">
      <c r="A210" s="2" t="s">
        <v>841</v>
      </c>
      <c r="B210" s="2" t="s">
        <v>750</v>
      </c>
      <c r="C210" s="2" t="s">
        <v>90</v>
      </c>
      <c r="D210" s="2" t="s">
        <v>842</v>
      </c>
      <c r="E210" s="2" t="s">
        <v>839</v>
      </c>
      <c r="F210" s="2" t="s">
        <v>840</v>
      </c>
      <c r="G210" s="2" t="s">
        <v>840</v>
      </c>
      <c r="H210" s="5" t="n">
        <v>230</v>
      </c>
      <c r="I210" s="6" t="n">
        <f aca="false">INDEX(SUPPLIERS!$D$3:$D$30,MATCH(C210,SUPPLIERS!$A$3:$A$30,0))</f>
        <v>0</v>
      </c>
      <c r="J210" s="5" t="n">
        <f aca="false">H210*(1-I210)</f>
        <v>230</v>
      </c>
      <c r="M210" s="5" t="str">
        <f aca="false">IF(K210="","",J210/K210)</f>
        <v/>
      </c>
      <c r="N210" s="2" t="n">
        <v>0.1125</v>
      </c>
      <c r="O210" s="13" t="n">
        <v>0.000225</v>
      </c>
      <c r="P210" s="2" t="s">
        <v>817</v>
      </c>
      <c r="Q210" s="14" t="n">
        <f aca="false">MAX(N210/DRIVERS!$B$5,O210/DRIVERS!$B$6)</f>
        <v>3.75E-005</v>
      </c>
      <c r="R210" s="15" t="n">
        <f aca="false">ROUNDDOWN(1/Q210,0)</f>
        <v>26666</v>
      </c>
      <c r="S210" s="5" t="n">
        <f aca="false">DRIVERS!$B$23*Q210/DRIVERS!$B$24</f>
        <v>0.194659718544719</v>
      </c>
      <c r="T210" s="5" t="n">
        <f aca="false">J210*INDEX(DRIVERS!$C$32:$C$42,MATCH(B210,DRIVERS!$A$32:$A$42,0))</f>
        <v>11.5</v>
      </c>
      <c r="U210" s="5" t="n">
        <f aca="false">J210*INDEX(SUPPLIERS!$E$3:$E$30,MATCH(C210,SUPPLIERS!$A$3:$A$30,0))</f>
        <v>0</v>
      </c>
      <c r="V210" s="5" t="n">
        <v>0</v>
      </c>
      <c r="W210" s="5" t="n">
        <f aca="false">J210+S210+T210+U210+V210</f>
        <v>241.694659718545</v>
      </c>
      <c r="X210" s="9" t="n">
        <f aca="false">W210/J210-1</f>
        <v>0.0508463466023683</v>
      </c>
      <c r="Y210" s="6" t="n">
        <f aca="false">INDEX(DRIVERS!$B$32:$B$42,MATCH(B210,DRIVERS!$A$32:$A$42,0))</f>
        <v>0.3</v>
      </c>
      <c r="Z210" s="5" t="n">
        <f aca="false">W210*(1+Y210)</f>
        <v>314.203057634108</v>
      </c>
      <c r="AA210" s="5" t="n">
        <f aca="false">W210*(1+Y210+DRIVERS!$B$26)*(1+DRIVERS!$B$27)</f>
        <v>365.44232549444</v>
      </c>
      <c r="AB210" s="2" t="s">
        <v>205</v>
      </c>
      <c r="AC210" s="8"/>
    </row>
    <row r="211" customFormat="false" ht="15" hidden="false" customHeight="false" outlineLevel="0" collapsed="false">
      <c r="A211" s="2" t="s">
        <v>843</v>
      </c>
      <c r="B211" s="2" t="s">
        <v>750</v>
      </c>
      <c r="C211" s="2" t="s">
        <v>90</v>
      </c>
      <c r="D211" s="2" t="s">
        <v>844</v>
      </c>
      <c r="E211" s="2" t="s">
        <v>845</v>
      </c>
      <c r="F211" s="2" t="s">
        <v>753</v>
      </c>
      <c r="G211" s="2" t="s">
        <v>753</v>
      </c>
      <c r="H211" s="5" t="n">
        <v>41</v>
      </c>
      <c r="I211" s="6" t="n">
        <f aca="false">INDEX(SUPPLIERS!$D$3:$D$30,MATCH(C211,SUPPLIERS!$A$3:$A$30,0))</f>
        <v>0</v>
      </c>
      <c r="J211" s="5" t="n">
        <f aca="false">H211*(1-I211)</f>
        <v>41</v>
      </c>
      <c r="M211" s="5" t="str">
        <f aca="false">IF(K211="","",J211/K211)</f>
        <v/>
      </c>
      <c r="N211" s="2" t="n">
        <v>0.0387</v>
      </c>
      <c r="O211" s="13" t="n">
        <v>4.8E-005</v>
      </c>
      <c r="P211" s="2" t="s">
        <v>773</v>
      </c>
      <c r="Q211" s="14" t="n">
        <f aca="false">MAX(N211/DRIVERS!$B$5,O211/DRIVERS!$B$6)</f>
        <v>1.29E-005</v>
      </c>
      <c r="R211" s="15" t="n">
        <f aca="false">ROUNDDOWN(1/Q211,0)</f>
        <v>77519</v>
      </c>
      <c r="S211" s="5" t="n">
        <f aca="false">DRIVERS!$B$23*Q211/DRIVERS!$B$24</f>
        <v>0.0669629431793834</v>
      </c>
      <c r="T211" s="5" t="n">
        <f aca="false">J211*INDEX(DRIVERS!$C$32:$C$42,MATCH(B211,DRIVERS!$A$32:$A$42,0))</f>
        <v>2.05</v>
      </c>
      <c r="U211" s="5" t="n">
        <f aca="false">J211*INDEX(SUPPLIERS!$E$3:$E$30,MATCH(C211,SUPPLIERS!$A$3:$A$30,0))</f>
        <v>0</v>
      </c>
      <c r="V211" s="5" t="n">
        <v>0</v>
      </c>
      <c r="W211" s="5" t="n">
        <f aca="false">J211+S211+T211+U211+V211</f>
        <v>43.1169629431794</v>
      </c>
      <c r="X211" s="9" t="n">
        <f aca="false">W211/J211-1</f>
        <v>0.0516332425165702</v>
      </c>
      <c r="Y211" s="6" t="n">
        <f aca="false">INDEX(DRIVERS!$B$32:$B$42,MATCH(B211,DRIVERS!$A$32:$A$42,0))</f>
        <v>0.3</v>
      </c>
      <c r="Z211" s="5" t="n">
        <f aca="false">W211*(1+Y211)</f>
        <v>56.0520518261332</v>
      </c>
      <c r="AA211" s="5" t="n">
        <f aca="false">W211*(1+Y211+DRIVERS!$B$26)*(1+DRIVERS!$B$27)</f>
        <v>65.1928479700872</v>
      </c>
      <c r="AB211" s="2" t="s">
        <v>205</v>
      </c>
      <c r="AC211" s="8"/>
    </row>
    <row r="212" customFormat="false" ht="15" hidden="false" customHeight="false" outlineLevel="0" collapsed="false">
      <c r="A212" s="2" t="s">
        <v>846</v>
      </c>
      <c r="B212" s="2" t="s">
        <v>750</v>
      </c>
      <c r="C212" s="2" t="s">
        <v>90</v>
      </c>
      <c r="D212" s="2" t="s">
        <v>847</v>
      </c>
      <c r="E212" s="2" t="s">
        <v>848</v>
      </c>
      <c r="F212" s="2" t="s">
        <v>753</v>
      </c>
      <c r="G212" s="2" t="s">
        <v>753</v>
      </c>
      <c r="H212" s="5" t="n">
        <v>105</v>
      </c>
      <c r="I212" s="6" t="n">
        <f aca="false">INDEX(SUPPLIERS!$D$3:$D$30,MATCH(C212,SUPPLIERS!$A$3:$A$30,0))</f>
        <v>0</v>
      </c>
      <c r="J212" s="5" t="n">
        <f aca="false">H212*(1-I212)</f>
        <v>105</v>
      </c>
      <c r="M212" s="5" t="str">
        <f aca="false">IF(K212="","",J212/K212)</f>
        <v/>
      </c>
      <c r="N212" s="2" t="n">
        <v>0.115</v>
      </c>
      <c r="O212" s="13" t="n">
        <v>0.000144</v>
      </c>
      <c r="P212" s="2" t="s">
        <v>773</v>
      </c>
      <c r="Q212" s="14" t="n">
        <f aca="false">MAX(N212/DRIVERS!$B$5,O212/DRIVERS!$B$6)</f>
        <v>3.83333333333333E-005</v>
      </c>
      <c r="R212" s="15" t="n">
        <f aca="false">ROUNDDOWN(1/Q212,0)</f>
        <v>26086</v>
      </c>
      <c r="S212" s="5" t="n">
        <f aca="false">DRIVERS!$B$23*Q212/DRIVERS!$B$24</f>
        <v>0.198985490067935</v>
      </c>
      <c r="T212" s="5" t="n">
        <f aca="false">J212*INDEX(DRIVERS!$C$32:$C$42,MATCH(B212,DRIVERS!$A$32:$A$42,0))</f>
        <v>5.25</v>
      </c>
      <c r="U212" s="5" t="n">
        <f aca="false">J212*INDEX(SUPPLIERS!$E$3:$E$30,MATCH(C212,SUPPLIERS!$A$3:$A$30,0))</f>
        <v>0</v>
      </c>
      <c r="V212" s="5" t="n">
        <v>0</v>
      </c>
      <c r="W212" s="5" t="n">
        <f aca="false">J212+S212+T212+U212+V212</f>
        <v>110.448985490068</v>
      </c>
      <c r="X212" s="9" t="n">
        <f aca="false">W212/J212-1</f>
        <v>0.0518950999054089</v>
      </c>
      <c r="Y212" s="6" t="n">
        <f aca="false">INDEX(DRIVERS!$B$32:$B$42,MATCH(B212,DRIVERS!$A$32:$A$42,0))</f>
        <v>0.3</v>
      </c>
      <c r="Z212" s="5" t="n">
        <f aca="false">W212*(1+Y212)</f>
        <v>143.583681137088</v>
      </c>
      <c r="AA212" s="5" t="n">
        <f aca="false">W212*(1+Y212+DRIVERS!$B$26)*(1+DRIVERS!$B$27)</f>
        <v>166.998866060983</v>
      </c>
      <c r="AB212" s="2" t="s">
        <v>205</v>
      </c>
      <c r="AC212" s="8"/>
    </row>
    <row r="213" customFormat="false" ht="15" hidden="false" customHeight="false" outlineLevel="0" collapsed="false">
      <c r="A213" s="2" t="s">
        <v>849</v>
      </c>
      <c r="B213" s="2" t="s">
        <v>750</v>
      </c>
      <c r="C213" s="2" t="s">
        <v>90</v>
      </c>
      <c r="D213" s="2" t="s">
        <v>850</v>
      </c>
      <c r="E213" s="2" t="s">
        <v>851</v>
      </c>
      <c r="F213" s="2" t="s">
        <v>753</v>
      </c>
      <c r="G213" s="2" t="s">
        <v>753</v>
      </c>
      <c r="H213" s="5" t="n">
        <v>151</v>
      </c>
      <c r="I213" s="6" t="n">
        <f aca="false">INDEX(SUPPLIERS!$D$3:$D$30,MATCH(C213,SUPPLIERS!$A$3:$A$30,0))</f>
        <v>0</v>
      </c>
      <c r="J213" s="5" t="n">
        <f aca="false">H213*(1-I213)</f>
        <v>151</v>
      </c>
      <c r="M213" s="5" t="str">
        <f aca="false">IF(K213="","",J213/K213)</f>
        <v/>
      </c>
      <c r="N213" s="2" t="n">
        <v>0.195</v>
      </c>
      <c r="O213" s="13" t="n">
        <v>0.000244</v>
      </c>
      <c r="P213" s="2" t="s">
        <v>773</v>
      </c>
      <c r="Q213" s="14" t="n">
        <f aca="false">MAX(N213/DRIVERS!$B$5,O213/DRIVERS!$B$6)</f>
        <v>6.5E-005</v>
      </c>
      <c r="R213" s="15" t="n">
        <f aca="false">ROUNDDOWN(1/Q213,0)</f>
        <v>15384</v>
      </c>
      <c r="S213" s="5" t="n">
        <f aca="false">DRIVERS!$B$23*Q213/DRIVERS!$B$24</f>
        <v>0.337410178810847</v>
      </c>
      <c r="T213" s="5" t="n">
        <f aca="false">J213*INDEX(DRIVERS!$C$32:$C$42,MATCH(B213,DRIVERS!$A$32:$A$42,0))</f>
        <v>7.55</v>
      </c>
      <c r="U213" s="5" t="n">
        <f aca="false">J213*INDEX(SUPPLIERS!$E$3:$E$30,MATCH(C213,SUPPLIERS!$A$3:$A$30,0))</f>
        <v>0</v>
      </c>
      <c r="V213" s="5" t="n">
        <v>0</v>
      </c>
      <c r="W213" s="5" t="n">
        <f aca="false">J213+S213+T213+U213+V213</f>
        <v>158.887410178811</v>
      </c>
      <c r="X213" s="9" t="n">
        <f aca="false">W213/J213-1</f>
        <v>0.0522345044954362</v>
      </c>
      <c r="Y213" s="6" t="n">
        <f aca="false">INDEX(DRIVERS!$B$32:$B$42,MATCH(B213,DRIVERS!$A$32:$A$42,0))</f>
        <v>0.3</v>
      </c>
      <c r="Z213" s="5" t="n">
        <f aca="false">W213*(1+Y213)</f>
        <v>206.553633232454</v>
      </c>
      <c r="AA213" s="5" t="n">
        <f aca="false">W213*(1+Y213+DRIVERS!$B$26)*(1+DRIVERS!$B$27)</f>
        <v>240.237764190362</v>
      </c>
      <c r="AB213" s="2" t="s">
        <v>205</v>
      </c>
      <c r="AC213" s="8"/>
    </row>
    <row r="214" customFormat="false" ht="15" hidden="false" customHeight="false" outlineLevel="0" collapsed="false">
      <c r="A214" s="2" t="s">
        <v>852</v>
      </c>
      <c r="B214" s="2" t="s">
        <v>750</v>
      </c>
      <c r="C214" s="2" t="s">
        <v>92</v>
      </c>
      <c r="D214" s="2" t="s">
        <v>853</v>
      </c>
      <c r="E214" s="2" t="s">
        <v>854</v>
      </c>
      <c r="F214" s="2" t="s">
        <v>753</v>
      </c>
      <c r="G214" s="2" t="s">
        <v>753</v>
      </c>
      <c r="H214" s="5" t="n">
        <v>60</v>
      </c>
      <c r="I214" s="6" t="n">
        <f aca="false">INDEX(SUPPLIERS!$D$3:$D$30,MATCH(C214,SUPPLIERS!$A$3:$A$30,0))</f>
        <v>0</v>
      </c>
      <c r="J214" s="5" t="n">
        <f aca="false">H214*(1-I214)</f>
        <v>60</v>
      </c>
      <c r="M214" s="5" t="str">
        <f aca="false">IF(K214="","",J214/K214)</f>
        <v/>
      </c>
      <c r="N214" s="2" t="n">
        <v>0.039</v>
      </c>
      <c r="O214" s="13" t="n">
        <v>4.9E-005</v>
      </c>
      <c r="P214" s="2" t="s">
        <v>773</v>
      </c>
      <c r="Q214" s="14" t="n">
        <f aca="false">MAX(N214/DRIVERS!$B$5,O214/DRIVERS!$B$6)</f>
        <v>1.3E-005</v>
      </c>
      <c r="R214" s="15" t="n">
        <f aca="false">ROUNDDOWN(1/Q214,0)</f>
        <v>76923</v>
      </c>
      <c r="S214" s="5" t="n">
        <f aca="false">DRIVERS!$B$23*Q214/DRIVERS!$B$24</f>
        <v>0.0674820357621693</v>
      </c>
      <c r="T214" s="5" t="n">
        <f aca="false">J214*INDEX(DRIVERS!$C$32:$C$42,MATCH(B214,DRIVERS!$A$32:$A$42,0))</f>
        <v>3</v>
      </c>
      <c r="U214" s="5" t="n">
        <f aca="false">J214*INDEX(SUPPLIERS!$E$3:$E$30,MATCH(C214,SUPPLIERS!$A$3:$A$30,0))</f>
        <v>0</v>
      </c>
      <c r="V214" s="5" t="n">
        <v>0</v>
      </c>
      <c r="W214" s="5" t="n">
        <f aca="false">J214+S214+T214+U214+V214</f>
        <v>63.0674820357622</v>
      </c>
      <c r="X214" s="9" t="n">
        <f aca="false">W214/J214-1</f>
        <v>0.0511247005960362</v>
      </c>
      <c r="Y214" s="6" t="n">
        <f aca="false">INDEX(DRIVERS!$B$32:$B$42,MATCH(B214,DRIVERS!$A$32:$A$42,0))</f>
        <v>0.3</v>
      </c>
      <c r="Z214" s="5" t="n">
        <f aca="false">W214*(1+Y214)</f>
        <v>81.9877266464908</v>
      </c>
      <c r="AA214" s="5" t="n">
        <f aca="false">W214*(1+Y214+DRIVERS!$B$26)*(1+DRIVERS!$B$27)</f>
        <v>95.3580328380724</v>
      </c>
      <c r="AB214" s="2" t="s">
        <v>218</v>
      </c>
      <c r="AC214" s="8"/>
    </row>
    <row r="215" customFormat="false" ht="15" hidden="false" customHeight="false" outlineLevel="0" collapsed="false">
      <c r="A215" s="2" t="s">
        <v>855</v>
      </c>
      <c r="B215" s="2" t="s">
        <v>750</v>
      </c>
      <c r="C215" s="2" t="s">
        <v>92</v>
      </c>
      <c r="D215" s="2" t="s">
        <v>856</v>
      </c>
      <c r="E215" s="2" t="s">
        <v>857</v>
      </c>
      <c r="F215" s="2" t="s">
        <v>753</v>
      </c>
      <c r="G215" s="2" t="s">
        <v>753</v>
      </c>
      <c r="H215" s="5" t="n">
        <v>80</v>
      </c>
      <c r="I215" s="6" t="n">
        <f aca="false">INDEX(SUPPLIERS!$D$3:$D$30,MATCH(C215,SUPPLIERS!$A$3:$A$30,0))</f>
        <v>0</v>
      </c>
      <c r="J215" s="5" t="n">
        <f aca="false">H215*(1-I215)</f>
        <v>80</v>
      </c>
      <c r="M215" s="5" t="str">
        <f aca="false">IF(K215="","",J215/K215)</f>
        <v/>
      </c>
      <c r="N215" s="2" t="n">
        <v>0.059</v>
      </c>
      <c r="O215" s="13" t="n">
        <v>7.4E-005</v>
      </c>
      <c r="P215" s="2" t="s">
        <v>773</v>
      </c>
      <c r="Q215" s="14" t="n">
        <f aca="false">MAX(N215/DRIVERS!$B$5,O215/DRIVERS!$B$6)</f>
        <v>1.96666666666667E-005</v>
      </c>
      <c r="R215" s="15" t="n">
        <f aca="false">ROUNDDOWN(1/Q215,0)</f>
        <v>50847</v>
      </c>
      <c r="S215" s="5" t="n">
        <f aca="false">DRIVERS!$B$23*Q215/DRIVERS!$B$24</f>
        <v>0.102088207947897</v>
      </c>
      <c r="T215" s="5" t="n">
        <f aca="false">J215*INDEX(DRIVERS!$C$32:$C$42,MATCH(B215,DRIVERS!$A$32:$A$42,0))</f>
        <v>4</v>
      </c>
      <c r="U215" s="5" t="n">
        <f aca="false">J215*INDEX(SUPPLIERS!$E$3:$E$30,MATCH(C215,SUPPLIERS!$A$3:$A$30,0))</f>
        <v>0</v>
      </c>
      <c r="V215" s="5" t="n">
        <v>0</v>
      </c>
      <c r="W215" s="5" t="n">
        <f aca="false">J215+S215+T215+U215+V215</f>
        <v>84.1020882079479</v>
      </c>
      <c r="X215" s="9" t="n">
        <f aca="false">W215/J215-1</f>
        <v>0.0512761025993487</v>
      </c>
      <c r="Y215" s="6" t="n">
        <f aca="false">INDEX(DRIVERS!$B$32:$B$42,MATCH(B215,DRIVERS!$A$32:$A$42,0))</f>
        <v>0.3</v>
      </c>
      <c r="Z215" s="5" t="n">
        <f aca="false">W215*(1+Y215)</f>
        <v>109.332714670332</v>
      </c>
      <c r="AA215" s="5" t="n">
        <f aca="false">W215*(1+Y215+DRIVERS!$B$26)*(1+DRIVERS!$B$27)</f>
        <v>127.162357370417</v>
      </c>
      <c r="AB215" s="2" t="s">
        <v>218</v>
      </c>
      <c r="AC215" s="8"/>
    </row>
    <row r="216" customFormat="false" ht="15" hidden="false" customHeight="false" outlineLevel="0" collapsed="false">
      <c r="A216" s="2" t="s">
        <v>858</v>
      </c>
      <c r="B216" s="2" t="s">
        <v>750</v>
      </c>
      <c r="C216" s="2" t="s">
        <v>92</v>
      </c>
      <c r="D216" s="2" t="s">
        <v>859</v>
      </c>
      <c r="E216" s="2" t="s">
        <v>860</v>
      </c>
      <c r="F216" s="2" t="s">
        <v>753</v>
      </c>
      <c r="G216" s="2" t="s">
        <v>753</v>
      </c>
      <c r="H216" s="5" t="n">
        <v>100</v>
      </c>
      <c r="I216" s="6" t="n">
        <f aca="false">INDEX(SUPPLIERS!$D$3:$D$30,MATCH(C216,SUPPLIERS!$A$3:$A$30,0))</f>
        <v>0</v>
      </c>
      <c r="J216" s="5" t="n">
        <f aca="false">H216*(1-I216)</f>
        <v>100</v>
      </c>
      <c r="M216" s="5" t="str">
        <f aca="false">IF(K216="","",J216/K216)</f>
        <v/>
      </c>
      <c r="N216" s="2" t="n">
        <v>0.09</v>
      </c>
      <c r="O216" s="13" t="n">
        <v>0.000112</v>
      </c>
      <c r="P216" s="2" t="s">
        <v>773</v>
      </c>
      <c r="Q216" s="14" t="n">
        <f aca="false">MAX(N216/DRIVERS!$B$5,O216/DRIVERS!$B$6)</f>
        <v>3E-005</v>
      </c>
      <c r="R216" s="15" t="n">
        <f aca="false">ROUNDDOWN(1/Q216,0)</f>
        <v>33333</v>
      </c>
      <c r="S216" s="5" t="n">
        <f aca="false">DRIVERS!$B$23*Q216/DRIVERS!$B$24</f>
        <v>0.155727774835775</v>
      </c>
      <c r="T216" s="5" t="n">
        <f aca="false">J216*INDEX(DRIVERS!$C$32:$C$42,MATCH(B216,DRIVERS!$A$32:$A$42,0))</f>
        <v>5</v>
      </c>
      <c r="U216" s="5" t="n">
        <f aca="false">J216*INDEX(SUPPLIERS!$E$3:$E$30,MATCH(C216,SUPPLIERS!$A$3:$A$30,0))</f>
        <v>0</v>
      </c>
      <c r="V216" s="5" t="n">
        <v>0</v>
      </c>
      <c r="W216" s="5" t="n">
        <f aca="false">J216+S216+T216+U216+V216</f>
        <v>105.155727774836</v>
      </c>
      <c r="X216" s="9" t="n">
        <f aca="false">W216/J216-1</f>
        <v>0.0515572777483577</v>
      </c>
      <c r="Y216" s="6" t="n">
        <f aca="false">INDEX(DRIVERS!$B$32:$B$42,MATCH(B216,DRIVERS!$A$32:$A$42,0))</f>
        <v>0.3</v>
      </c>
      <c r="Z216" s="5" t="n">
        <f aca="false">W216*(1+Y216)</f>
        <v>136.702446107287</v>
      </c>
      <c r="AA216" s="5" t="n">
        <f aca="false">W216*(1+Y216+DRIVERS!$B$26)*(1+DRIVERS!$B$27)</f>
        <v>158.995460395552</v>
      </c>
      <c r="AB216" s="2" t="s">
        <v>218</v>
      </c>
      <c r="AC216" s="8"/>
    </row>
    <row r="217" customFormat="false" ht="15" hidden="false" customHeight="false" outlineLevel="0" collapsed="false">
      <c r="A217" s="2" t="s">
        <v>861</v>
      </c>
      <c r="B217" s="2" t="s">
        <v>750</v>
      </c>
      <c r="C217" s="2" t="s">
        <v>92</v>
      </c>
      <c r="D217" s="2" t="s">
        <v>862</v>
      </c>
      <c r="E217" s="2" t="s">
        <v>863</v>
      </c>
      <c r="F217" s="2" t="s">
        <v>186</v>
      </c>
      <c r="G217" s="2" t="s">
        <v>186</v>
      </c>
      <c r="H217" s="5" t="n">
        <v>200</v>
      </c>
      <c r="I217" s="6" t="n">
        <f aca="false">INDEX(SUPPLIERS!$D$3:$D$30,MATCH(C217,SUPPLIERS!$A$3:$A$30,0))</f>
        <v>0</v>
      </c>
      <c r="J217" s="5" t="n">
        <f aca="false">H217*(1-I217)</f>
        <v>200</v>
      </c>
      <c r="M217" s="5" t="str">
        <f aca="false">IF(K217="","",J217/K217)</f>
        <v/>
      </c>
      <c r="N217" s="2" t="n">
        <v>0.1085</v>
      </c>
      <c r="O217" s="13" t="n">
        <v>0.000136</v>
      </c>
      <c r="P217" s="2" t="s">
        <v>773</v>
      </c>
      <c r="Q217" s="14" t="n">
        <f aca="false">MAX(N217/DRIVERS!$B$5,O217/DRIVERS!$B$6)</f>
        <v>3.61666666666667E-005</v>
      </c>
      <c r="R217" s="15" t="n">
        <f aca="false">ROUNDDOWN(1/Q217,0)</f>
        <v>27649</v>
      </c>
      <c r="S217" s="5" t="n">
        <f aca="false">DRIVERS!$B$23*Q217/DRIVERS!$B$24</f>
        <v>0.187738484107574</v>
      </c>
      <c r="T217" s="5" t="n">
        <f aca="false">J217*INDEX(DRIVERS!$C$32:$C$42,MATCH(B217,DRIVERS!$A$32:$A$42,0))</f>
        <v>10</v>
      </c>
      <c r="U217" s="5" t="n">
        <f aca="false">J217*INDEX(SUPPLIERS!$E$3:$E$30,MATCH(C217,SUPPLIERS!$A$3:$A$30,0))</f>
        <v>0</v>
      </c>
      <c r="V217" s="5" t="n">
        <v>0</v>
      </c>
      <c r="W217" s="5" t="n">
        <f aca="false">J217+S217+T217+U217+V217</f>
        <v>210.187738484108</v>
      </c>
      <c r="X217" s="9" t="n">
        <f aca="false">W217/J217-1</f>
        <v>0.0509386924205379</v>
      </c>
      <c r="Y217" s="6" t="n">
        <f aca="false">INDEX(DRIVERS!$B$32:$B$42,MATCH(B217,DRIVERS!$A$32:$A$42,0))</f>
        <v>0.3</v>
      </c>
      <c r="Z217" s="5" t="n">
        <f aca="false">W217*(1+Y217)</f>
        <v>273.24406002934</v>
      </c>
      <c r="AA217" s="5" t="n">
        <f aca="false">W217*(1+Y217+DRIVERS!$B$26)*(1+DRIVERS!$B$27)</f>
        <v>317.803860587971</v>
      </c>
      <c r="AB217" s="2" t="s">
        <v>218</v>
      </c>
      <c r="AC217" s="8"/>
    </row>
    <row r="218" customFormat="false" ht="15" hidden="false" customHeight="false" outlineLevel="0" collapsed="false">
      <c r="A218" s="2" t="s">
        <v>864</v>
      </c>
      <c r="B218" s="2" t="s">
        <v>750</v>
      </c>
      <c r="C218" s="2" t="s">
        <v>92</v>
      </c>
      <c r="D218" s="2" t="s">
        <v>865</v>
      </c>
      <c r="E218" s="2" t="s">
        <v>866</v>
      </c>
      <c r="F218" s="2" t="s">
        <v>840</v>
      </c>
      <c r="G218" s="2" t="s">
        <v>840</v>
      </c>
      <c r="H218" s="5" t="n">
        <v>600</v>
      </c>
      <c r="I218" s="6" t="n">
        <f aca="false">INDEX(SUPPLIERS!$D$3:$D$30,MATCH(C218,SUPPLIERS!$A$3:$A$30,0))</f>
        <v>0</v>
      </c>
      <c r="J218" s="5" t="n">
        <f aca="false">H218*(1-I218)</f>
        <v>600</v>
      </c>
      <c r="M218" s="5" t="str">
        <f aca="false">IF(K218="","",J218/K218)</f>
        <v/>
      </c>
      <c r="N218" s="2" t="n">
        <v>0.235</v>
      </c>
      <c r="O218" s="13" t="n">
        <v>0.000294</v>
      </c>
      <c r="P218" s="2" t="s">
        <v>773</v>
      </c>
      <c r="Q218" s="14" t="n">
        <f aca="false">MAX(N218/DRIVERS!$B$5,O218/DRIVERS!$B$6)</f>
        <v>7.83333333333333E-005</v>
      </c>
      <c r="R218" s="15" t="n">
        <f aca="false">ROUNDDOWN(1/Q218,0)</f>
        <v>12765</v>
      </c>
      <c r="S218" s="5" t="n">
        <f aca="false">DRIVERS!$B$23*Q218/DRIVERS!$B$24</f>
        <v>0.406622523182302</v>
      </c>
      <c r="T218" s="5" t="n">
        <f aca="false">J218*INDEX(DRIVERS!$C$32:$C$42,MATCH(B218,DRIVERS!$A$32:$A$42,0))</f>
        <v>30</v>
      </c>
      <c r="U218" s="5" t="n">
        <f aca="false">J218*INDEX(SUPPLIERS!$E$3:$E$30,MATCH(C218,SUPPLIERS!$A$3:$A$30,0))</f>
        <v>0</v>
      </c>
      <c r="V218" s="5" t="n">
        <v>0</v>
      </c>
      <c r="W218" s="5" t="n">
        <f aca="false">J218+S218+T218+U218+V218</f>
        <v>630.406622523182</v>
      </c>
      <c r="X218" s="9" t="n">
        <f aca="false">W218/J218-1</f>
        <v>0.0506777042053037</v>
      </c>
      <c r="Y218" s="6" t="n">
        <f aca="false">INDEX(DRIVERS!$B$32:$B$42,MATCH(B218,DRIVERS!$A$32:$A$42,0))</f>
        <v>0.3</v>
      </c>
      <c r="Z218" s="5" t="n">
        <f aca="false">W218*(1+Y218)</f>
        <v>819.528609280137</v>
      </c>
      <c r="AA218" s="5" t="n">
        <f aca="false">W218*(1+Y218+DRIVERS!$B$26)*(1+DRIVERS!$B$27)</f>
        <v>953.174813255052</v>
      </c>
      <c r="AB218" s="2" t="s">
        <v>218</v>
      </c>
      <c r="AC218" s="8"/>
    </row>
    <row r="219" customFormat="false" ht="15" hidden="false" customHeight="false" outlineLevel="0" collapsed="false">
      <c r="A219" s="2" t="s">
        <v>867</v>
      </c>
      <c r="B219" s="2" t="s">
        <v>750</v>
      </c>
      <c r="C219" s="2" t="s">
        <v>92</v>
      </c>
      <c r="D219" s="2" t="s">
        <v>868</v>
      </c>
      <c r="E219" s="2" t="s">
        <v>869</v>
      </c>
      <c r="F219" s="2" t="s">
        <v>840</v>
      </c>
      <c r="G219" s="2" t="s">
        <v>840</v>
      </c>
      <c r="H219" s="5" t="n">
        <v>800</v>
      </c>
      <c r="I219" s="6" t="n">
        <f aca="false">INDEX(SUPPLIERS!$D$3:$D$30,MATCH(C219,SUPPLIERS!$A$3:$A$30,0))</f>
        <v>0</v>
      </c>
      <c r="J219" s="5" t="n">
        <f aca="false">H219*(1-I219)</f>
        <v>800</v>
      </c>
      <c r="M219" s="5" t="str">
        <f aca="false">IF(K219="","",J219/K219)</f>
        <v/>
      </c>
      <c r="N219" s="2" t="n">
        <v>0.3675</v>
      </c>
      <c r="O219" s="13" t="n">
        <v>0.000459</v>
      </c>
      <c r="P219" s="2" t="s">
        <v>773</v>
      </c>
      <c r="Q219" s="14" t="n">
        <f aca="false">MAX(N219/DRIVERS!$B$5,O219/DRIVERS!$B$6)</f>
        <v>0.0001225</v>
      </c>
      <c r="R219" s="15" t="n">
        <f aca="false">ROUNDDOWN(1/Q219,0)</f>
        <v>8163</v>
      </c>
      <c r="S219" s="5" t="n">
        <f aca="false">DRIVERS!$B$23*Q219/DRIVERS!$B$24</f>
        <v>0.635888413912749</v>
      </c>
      <c r="T219" s="5" t="n">
        <f aca="false">J219*INDEX(DRIVERS!$C$32:$C$42,MATCH(B219,DRIVERS!$A$32:$A$42,0))</f>
        <v>40</v>
      </c>
      <c r="U219" s="5" t="n">
        <f aca="false">J219*INDEX(SUPPLIERS!$E$3:$E$30,MATCH(C219,SUPPLIERS!$A$3:$A$30,0))</f>
        <v>0</v>
      </c>
      <c r="V219" s="5" t="n">
        <v>0</v>
      </c>
      <c r="W219" s="5" t="n">
        <f aca="false">J219+S219+T219+U219+V219</f>
        <v>840.635888413913</v>
      </c>
      <c r="X219" s="9" t="n">
        <f aca="false">W219/J219-1</f>
        <v>0.0507948605173909</v>
      </c>
      <c r="Y219" s="6" t="n">
        <f aca="false">INDEX(DRIVERS!$B$32:$B$42,MATCH(B219,DRIVERS!$A$32:$A$42,0))</f>
        <v>0.3</v>
      </c>
      <c r="Z219" s="5" t="n">
        <f aca="false">W219*(1+Y219)</f>
        <v>1092.82665493809</v>
      </c>
      <c r="AA219" s="5" t="n">
        <f aca="false">W219*(1+Y219+DRIVERS!$B$26)*(1+DRIVERS!$B$27)</f>
        <v>1271.04146328184</v>
      </c>
      <c r="AB219" s="2" t="s">
        <v>218</v>
      </c>
      <c r="AC219" s="8"/>
    </row>
    <row r="220" customFormat="false" ht="15" hidden="false" customHeight="false" outlineLevel="0" collapsed="false">
      <c r="A220" s="2" t="s">
        <v>66</v>
      </c>
      <c r="B220" s="2" t="s">
        <v>750</v>
      </c>
      <c r="C220" s="2" t="s">
        <v>92</v>
      </c>
      <c r="D220" s="2" t="s">
        <v>870</v>
      </c>
      <c r="E220" s="2" t="s">
        <v>871</v>
      </c>
      <c r="F220" s="2" t="s">
        <v>840</v>
      </c>
      <c r="G220" s="2" t="s">
        <v>840</v>
      </c>
      <c r="H220" s="5" t="n">
        <v>1000</v>
      </c>
      <c r="I220" s="6" t="n">
        <f aca="false">INDEX(SUPPLIERS!$D$3:$D$30,MATCH(C220,SUPPLIERS!$A$3:$A$30,0))</f>
        <v>0</v>
      </c>
      <c r="J220" s="5" t="n">
        <f aca="false">H220*(1-I220)</f>
        <v>1000</v>
      </c>
      <c r="M220" s="5" t="str">
        <f aca="false">IF(K220="","",J220/K220)</f>
        <v/>
      </c>
      <c r="N220" s="2" t="n">
        <v>0.47</v>
      </c>
      <c r="O220" s="13" t="n">
        <v>0.000587</v>
      </c>
      <c r="P220" s="2" t="s">
        <v>773</v>
      </c>
      <c r="Q220" s="14" t="n">
        <f aca="false">MAX(N220/DRIVERS!$B$5,O220/DRIVERS!$B$6)</f>
        <v>0.000156666666666667</v>
      </c>
      <c r="R220" s="15" t="n">
        <f aca="false">ROUNDDOWN(1/Q220,0)</f>
        <v>6382</v>
      </c>
      <c r="S220" s="5" t="n">
        <f aca="false">DRIVERS!$B$23*Q220/DRIVERS!$B$24</f>
        <v>0.813245046364605</v>
      </c>
      <c r="T220" s="5" t="n">
        <f aca="false">J220*INDEX(DRIVERS!$C$32:$C$42,MATCH(B220,DRIVERS!$A$32:$A$42,0))</f>
        <v>50</v>
      </c>
      <c r="U220" s="5" t="n">
        <f aca="false">J220*INDEX(SUPPLIERS!$E$3:$E$30,MATCH(C220,SUPPLIERS!$A$3:$A$30,0))</f>
        <v>0</v>
      </c>
      <c r="V220" s="5" t="n">
        <v>0</v>
      </c>
      <c r="W220" s="5" t="n">
        <f aca="false">J220+S220+T220+U220+V220</f>
        <v>1050.81324504636</v>
      </c>
      <c r="X220" s="9" t="n">
        <f aca="false">W220/J220-1</f>
        <v>0.0508132450463645</v>
      </c>
      <c r="Y220" s="6" t="n">
        <f aca="false">INDEX(DRIVERS!$B$32:$B$42,MATCH(B220,DRIVERS!$A$32:$A$42,0))</f>
        <v>0.3</v>
      </c>
      <c r="Z220" s="5" t="n">
        <f aca="false">W220*(1+Y220)</f>
        <v>1366.05721856027</v>
      </c>
      <c r="AA220" s="5" t="n">
        <f aca="false">W220*(1+Y220+DRIVERS!$B$26)*(1+DRIVERS!$B$27)</f>
        <v>1588.8296265101</v>
      </c>
      <c r="AB220" s="2" t="s">
        <v>218</v>
      </c>
      <c r="AC220" s="8"/>
    </row>
    <row r="221" customFormat="false" ht="15" hidden="false" customHeight="false" outlineLevel="0" collapsed="false">
      <c r="A221" s="2" t="s">
        <v>872</v>
      </c>
      <c r="B221" s="2" t="s">
        <v>750</v>
      </c>
      <c r="C221" s="2" t="s">
        <v>92</v>
      </c>
      <c r="D221" s="2" t="s">
        <v>873</v>
      </c>
      <c r="E221" s="2" t="s">
        <v>874</v>
      </c>
      <c r="F221" s="2" t="s">
        <v>840</v>
      </c>
      <c r="G221" s="2" t="s">
        <v>840</v>
      </c>
      <c r="H221" s="5" t="n">
        <v>1500</v>
      </c>
      <c r="I221" s="6" t="n">
        <f aca="false">INDEX(SUPPLIERS!$D$3:$D$30,MATCH(C221,SUPPLIERS!$A$3:$A$30,0))</f>
        <v>0</v>
      </c>
      <c r="J221" s="5" t="n">
        <f aca="false">H221*(1-I221)</f>
        <v>1500</v>
      </c>
      <c r="M221" s="5" t="str">
        <f aca="false">IF(K221="","",J221/K221)</f>
        <v/>
      </c>
      <c r="N221" s="2" t="n">
        <v>0.6</v>
      </c>
      <c r="O221" s="13" t="n">
        <v>0.00075</v>
      </c>
      <c r="P221" s="2" t="s">
        <v>773</v>
      </c>
      <c r="Q221" s="14" t="n">
        <f aca="false">MAX(N221/DRIVERS!$B$5,O221/DRIVERS!$B$6)</f>
        <v>0.0002</v>
      </c>
      <c r="R221" s="15" t="n">
        <f aca="false">ROUNDDOWN(1/Q221,0)</f>
        <v>5000</v>
      </c>
      <c r="S221" s="5" t="n">
        <f aca="false">DRIVERS!$B$23*Q221/DRIVERS!$B$24</f>
        <v>1.03818516557184</v>
      </c>
      <c r="T221" s="5" t="n">
        <f aca="false">J221*INDEX(DRIVERS!$C$32:$C$42,MATCH(B221,DRIVERS!$A$32:$A$42,0))</f>
        <v>75</v>
      </c>
      <c r="U221" s="5" t="n">
        <f aca="false">J221*INDEX(SUPPLIERS!$E$3:$E$30,MATCH(C221,SUPPLIERS!$A$3:$A$30,0))</f>
        <v>0</v>
      </c>
      <c r="V221" s="5" t="n">
        <v>0</v>
      </c>
      <c r="W221" s="5" t="n">
        <f aca="false">J221+S221+T221+U221+V221</f>
        <v>1576.03818516557</v>
      </c>
      <c r="X221" s="9" t="n">
        <f aca="false">W221/J221-1</f>
        <v>0.0506921234437145</v>
      </c>
      <c r="Y221" s="6" t="n">
        <f aca="false">INDEX(DRIVERS!$B$32:$B$42,MATCH(B221,DRIVERS!$A$32:$A$42,0))</f>
        <v>0.3</v>
      </c>
      <c r="Z221" s="5" t="n">
        <f aca="false">W221*(1+Y221)</f>
        <v>2048.84964071524</v>
      </c>
      <c r="AA221" s="5" t="n">
        <f aca="false">W221*(1+Y221+DRIVERS!$B$26)*(1+DRIVERS!$B$27)</f>
        <v>2382.96973597034</v>
      </c>
      <c r="AB221" s="2" t="s">
        <v>218</v>
      </c>
      <c r="AC221" s="8"/>
    </row>
    <row r="222" customFormat="false" ht="15" hidden="false" customHeight="false" outlineLevel="0" collapsed="false">
      <c r="A222" s="2" t="s">
        <v>875</v>
      </c>
      <c r="B222" s="2" t="s">
        <v>750</v>
      </c>
      <c r="C222" s="2" t="s">
        <v>92</v>
      </c>
      <c r="D222" s="2" t="s">
        <v>876</v>
      </c>
      <c r="E222" s="2" t="s">
        <v>877</v>
      </c>
      <c r="F222" s="2" t="s">
        <v>840</v>
      </c>
      <c r="G222" s="2" t="s">
        <v>840</v>
      </c>
      <c r="H222" s="5" t="n">
        <v>2200</v>
      </c>
      <c r="I222" s="6" t="n">
        <f aca="false">INDEX(SUPPLIERS!$D$3:$D$30,MATCH(C222,SUPPLIERS!$A$3:$A$30,0))</f>
        <v>0</v>
      </c>
      <c r="J222" s="5" t="n">
        <f aca="false">H222*(1-I222)</f>
        <v>2200</v>
      </c>
      <c r="M222" s="5" t="str">
        <f aca="false">IF(K222="","",J222/K222)</f>
        <v/>
      </c>
      <c r="N222" s="2" t="n">
        <v>0.76</v>
      </c>
      <c r="O222" s="13" t="n">
        <v>0.00095</v>
      </c>
      <c r="P222" s="2" t="s">
        <v>773</v>
      </c>
      <c r="Q222" s="14" t="n">
        <f aca="false">MAX(N222/DRIVERS!$B$5,O222/DRIVERS!$B$6)</f>
        <v>0.000253333333333333</v>
      </c>
      <c r="R222" s="15" t="n">
        <f aca="false">ROUNDDOWN(1/Q222,0)</f>
        <v>3947</v>
      </c>
      <c r="S222" s="5" t="n">
        <f aca="false">DRIVERS!$B$23*Q222/DRIVERS!$B$24</f>
        <v>1.31503454305766</v>
      </c>
      <c r="T222" s="5" t="n">
        <f aca="false">J222*INDEX(DRIVERS!$C$32:$C$42,MATCH(B222,DRIVERS!$A$32:$A$42,0))</f>
        <v>110</v>
      </c>
      <c r="U222" s="5" t="n">
        <f aca="false">J222*INDEX(SUPPLIERS!$E$3:$E$30,MATCH(C222,SUPPLIERS!$A$3:$A$30,0))</f>
        <v>0</v>
      </c>
      <c r="V222" s="5" t="n">
        <v>0</v>
      </c>
      <c r="W222" s="5" t="n">
        <f aca="false">J222+S222+T222+U222+V222</f>
        <v>2311.31503454306</v>
      </c>
      <c r="X222" s="9" t="n">
        <f aca="false">W222/J222-1</f>
        <v>0.0505977429741171</v>
      </c>
      <c r="Y222" s="6" t="n">
        <f aca="false">INDEX(DRIVERS!$B$32:$B$42,MATCH(B222,DRIVERS!$A$32:$A$42,0))</f>
        <v>0.3</v>
      </c>
      <c r="Z222" s="5" t="n">
        <f aca="false">W222*(1+Y222)</f>
        <v>3004.70954490598</v>
      </c>
      <c r="AA222" s="5" t="n">
        <f aca="false">W222*(1+Y222+DRIVERS!$B$26)*(1+DRIVERS!$B$27)</f>
        <v>3494.7083322291</v>
      </c>
      <c r="AB222" s="2" t="s">
        <v>218</v>
      </c>
      <c r="AC222" s="8"/>
    </row>
    <row r="223" customFormat="false" ht="15" hidden="false" customHeight="false" outlineLevel="0" collapsed="false">
      <c r="A223" s="2" t="s">
        <v>878</v>
      </c>
      <c r="B223" s="2" t="s">
        <v>750</v>
      </c>
      <c r="C223" s="2" t="s">
        <v>92</v>
      </c>
      <c r="D223" s="2" t="s">
        <v>879</v>
      </c>
      <c r="E223" s="2" t="s">
        <v>880</v>
      </c>
      <c r="F223" s="2" t="s">
        <v>753</v>
      </c>
      <c r="G223" s="2" t="s">
        <v>753</v>
      </c>
      <c r="H223" s="5" t="n">
        <v>100</v>
      </c>
      <c r="I223" s="6" t="n">
        <f aca="false">INDEX(SUPPLIERS!$D$3:$D$30,MATCH(C223,SUPPLIERS!$A$3:$A$30,0))</f>
        <v>0</v>
      </c>
      <c r="J223" s="5" t="n">
        <f aca="false">H223*(1-I223)</f>
        <v>100</v>
      </c>
      <c r="M223" s="5" t="str">
        <f aca="false">IF(K223="","",J223/K223)</f>
        <v/>
      </c>
      <c r="N223" s="2" t="n">
        <v>0.11</v>
      </c>
      <c r="O223" s="13" t="n">
        <v>0.000138</v>
      </c>
      <c r="P223" s="2" t="s">
        <v>773</v>
      </c>
      <c r="Q223" s="14" t="n">
        <f aca="false">MAX(N223/DRIVERS!$B$5,O223/DRIVERS!$B$6)</f>
        <v>3.66666666666667E-005</v>
      </c>
      <c r="R223" s="15" t="n">
        <f aca="false">ROUNDDOWN(1/Q223,0)</f>
        <v>27272</v>
      </c>
      <c r="S223" s="5" t="n">
        <f aca="false">DRIVERS!$B$23*Q223/DRIVERS!$B$24</f>
        <v>0.190333947021503</v>
      </c>
      <c r="T223" s="5" t="n">
        <f aca="false">J223*INDEX(DRIVERS!$C$32:$C$42,MATCH(B223,DRIVERS!$A$32:$A$42,0))</f>
        <v>5</v>
      </c>
      <c r="U223" s="5" t="n">
        <f aca="false">J223*INDEX(SUPPLIERS!$E$3:$E$30,MATCH(C223,SUPPLIERS!$A$3:$A$30,0))</f>
        <v>0</v>
      </c>
      <c r="V223" s="5" t="n">
        <v>0</v>
      </c>
      <c r="W223" s="5" t="n">
        <f aca="false">J223+S223+T223+U223+V223</f>
        <v>105.190333947022</v>
      </c>
      <c r="X223" s="9" t="n">
        <f aca="false">W223/J223-1</f>
        <v>0.0519033394702151</v>
      </c>
      <c r="Y223" s="6" t="n">
        <f aca="false">INDEX(DRIVERS!$B$32:$B$42,MATCH(B223,DRIVERS!$A$32:$A$42,0))</f>
        <v>0.3</v>
      </c>
      <c r="Z223" s="5" t="n">
        <f aca="false">W223*(1+Y223)</f>
        <v>136.747434131128</v>
      </c>
      <c r="AA223" s="5" t="n">
        <f aca="false">W223*(1+Y223+DRIVERS!$B$26)*(1+DRIVERS!$B$27)</f>
        <v>159.047784927897</v>
      </c>
      <c r="AB223" s="2" t="s">
        <v>218</v>
      </c>
      <c r="AC223" s="8"/>
      <c r="AD223" s="2" t="s">
        <v>749</v>
      </c>
    </row>
    <row r="224" customFormat="false" ht="15" hidden="false" customHeight="false" outlineLevel="0" collapsed="false">
      <c r="A224" s="2" t="s">
        <v>881</v>
      </c>
      <c r="B224" s="2" t="s">
        <v>750</v>
      </c>
      <c r="C224" s="2" t="s">
        <v>92</v>
      </c>
      <c r="D224" s="2" t="s">
        <v>882</v>
      </c>
      <c r="E224" s="2" t="s">
        <v>883</v>
      </c>
      <c r="F224" s="2" t="s">
        <v>753</v>
      </c>
      <c r="G224" s="2" t="s">
        <v>753</v>
      </c>
      <c r="H224" s="5" t="n">
        <v>140</v>
      </c>
      <c r="I224" s="6" t="n">
        <f aca="false">INDEX(SUPPLIERS!$D$3:$D$30,MATCH(C224,SUPPLIERS!$A$3:$A$30,0))</f>
        <v>0</v>
      </c>
      <c r="J224" s="5" t="n">
        <f aca="false">H224*(1-I224)</f>
        <v>140</v>
      </c>
      <c r="M224" s="5" t="str">
        <f aca="false">IF(K224="","",J224/K224)</f>
        <v/>
      </c>
      <c r="N224" s="2" t="n">
        <v>0.1945</v>
      </c>
      <c r="O224" s="13" t="n">
        <v>0.000243</v>
      </c>
      <c r="P224" s="2" t="s">
        <v>773</v>
      </c>
      <c r="Q224" s="14" t="n">
        <f aca="false">MAX(N224/DRIVERS!$B$5,O224/DRIVERS!$B$6)</f>
        <v>6.48333333333333E-005</v>
      </c>
      <c r="R224" s="15" t="n">
        <f aca="false">ROUNDDOWN(1/Q224,0)</f>
        <v>15424</v>
      </c>
      <c r="S224" s="5" t="n">
        <f aca="false">DRIVERS!$B$23*Q224/DRIVERS!$B$24</f>
        <v>0.336545024506204</v>
      </c>
      <c r="T224" s="5" t="n">
        <f aca="false">J224*INDEX(DRIVERS!$C$32:$C$42,MATCH(B224,DRIVERS!$A$32:$A$42,0))</f>
        <v>7</v>
      </c>
      <c r="U224" s="5" t="n">
        <f aca="false">J224*INDEX(SUPPLIERS!$E$3:$E$30,MATCH(C224,SUPPLIERS!$A$3:$A$30,0))</f>
        <v>0</v>
      </c>
      <c r="V224" s="5" t="n">
        <v>0</v>
      </c>
      <c r="W224" s="5" t="n">
        <f aca="false">J224+S224+T224+U224+V224</f>
        <v>147.336545024506</v>
      </c>
      <c r="X224" s="9" t="n">
        <f aca="false">W224/J224-1</f>
        <v>0.0524038930321871</v>
      </c>
      <c r="Y224" s="6" t="n">
        <f aca="false">INDEX(DRIVERS!$B$32:$B$42,MATCH(B224,DRIVERS!$A$32:$A$42,0))</f>
        <v>0.3</v>
      </c>
      <c r="Z224" s="5" t="n">
        <f aca="false">W224*(1+Y224)</f>
        <v>191.537508531858</v>
      </c>
      <c r="AA224" s="5" t="n">
        <f aca="false">W224*(1+Y224+DRIVERS!$B$26)*(1+DRIVERS!$B$27)</f>
        <v>222.772856077053</v>
      </c>
      <c r="AB224" s="2" t="s">
        <v>218</v>
      </c>
      <c r="AC224" s="8"/>
      <c r="AD224" s="2" t="s">
        <v>749</v>
      </c>
    </row>
    <row r="225" customFormat="false" ht="15" hidden="false" customHeight="false" outlineLevel="0" collapsed="false">
      <c r="A225" s="2" t="s">
        <v>884</v>
      </c>
      <c r="B225" s="2" t="s">
        <v>750</v>
      </c>
      <c r="C225" s="2" t="s">
        <v>92</v>
      </c>
      <c r="D225" s="2" t="s">
        <v>885</v>
      </c>
      <c r="E225" s="2" t="s">
        <v>839</v>
      </c>
      <c r="F225" s="2" t="s">
        <v>840</v>
      </c>
      <c r="G225" s="2" t="s">
        <v>840</v>
      </c>
      <c r="H225" s="5" t="n">
        <v>60</v>
      </c>
      <c r="I225" s="6" t="n">
        <f aca="false">INDEX(SUPPLIERS!$D$3:$D$30,MATCH(C225,SUPPLIERS!$A$3:$A$30,0))</f>
        <v>0</v>
      </c>
      <c r="J225" s="5" t="n">
        <f aca="false">H225*(1-I225)</f>
        <v>60</v>
      </c>
      <c r="M225" s="5" t="str">
        <f aca="false">IF(K225="","",J225/K225)</f>
        <v/>
      </c>
      <c r="N225" s="2" t="n">
        <v>0.142</v>
      </c>
      <c r="O225" s="13" t="n">
        <v>0.000284</v>
      </c>
      <c r="P225" s="2" t="s">
        <v>817</v>
      </c>
      <c r="Q225" s="14" t="n">
        <f aca="false">MAX(N225/DRIVERS!$B$5,O225/DRIVERS!$B$6)</f>
        <v>4.73333333333333E-005</v>
      </c>
      <c r="R225" s="15" t="n">
        <f aca="false">ROUNDDOWN(1/Q225,0)</f>
        <v>21126</v>
      </c>
      <c r="S225" s="5" t="n">
        <f aca="false">DRIVERS!$B$23*Q225/DRIVERS!$B$24</f>
        <v>0.245703822518668</v>
      </c>
      <c r="T225" s="5" t="n">
        <f aca="false">J225*INDEX(DRIVERS!$C$32:$C$42,MATCH(B225,DRIVERS!$A$32:$A$42,0))</f>
        <v>3</v>
      </c>
      <c r="U225" s="5" t="n">
        <f aca="false">J225*INDEX(SUPPLIERS!$E$3:$E$30,MATCH(C225,SUPPLIERS!$A$3:$A$30,0))</f>
        <v>0</v>
      </c>
      <c r="V225" s="5" t="n">
        <v>0</v>
      </c>
      <c r="W225" s="5" t="n">
        <f aca="false">J225+S225+T225+U225+V225</f>
        <v>63.2457038225187</v>
      </c>
      <c r="X225" s="9" t="n">
        <f aca="false">W225/J225-1</f>
        <v>0.0540950637086446</v>
      </c>
      <c r="Y225" s="6" t="n">
        <f aca="false">INDEX(DRIVERS!$B$32:$B$42,MATCH(B225,DRIVERS!$A$32:$A$42,0))</f>
        <v>0.3</v>
      </c>
      <c r="Z225" s="5" t="n">
        <f aca="false">W225*(1+Y225)</f>
        <v>82.2194149692743</v>
      </c>
      <c r="AA225" s="5" t="n">
        <f aca="false">W225*(1+Y225+DRIVERS!$B$26)*(1+DRIVERS!$B$27)</f>
        <v>95.6275041796483</v>
      </c>
      <c r="AB225" s="2" t="s">
        <v>218</v>
      </c>
      <c r="AC225" s="8"/>
    </row>
    <row r="226" customFormat="false" ht="15" hidden="false" customHeight="false" outlineLevel="0" collapsed="false">
      <c r="A226" s="2" t="s">
        <v>886</v>
      </c>
      <c r="B226" s="2" t="s">
        <v>750</v>
      </c>
      <c r="C226" s="2" t="s">
        <v>92</v>
      </c>
      <c r="D226" s="2" t="s">
        <v>887</v>
      </c>
      <c r="E226" s="2" t="s">
        <v>839</v>
      </c>
      <c r="F226" s="2" t="s">
        <v>186</v>
      </c>
      <c r="G226" s="2" t="s">
        <v>186</v>
      </c>
      <c r="H226" s="5" t="n">
        <v>350</v>
      </c>
      <c r="I226" s="6" t="n">
        <f aca="false">INDEX(SUPPLIERS!$D$3:$D$30,MATCH(C226,SUPPLIERS!$A$3:$A$30,0))</f>
        <v>0</v>
      </c>
      <c r="J226" s="5" t="n">
        <f aca="false">H226*(1-I226)</f>
        <v>350</v>
      </c>
      <c r="M226" s="5" t="str">
        <f aca="false">IF(K226="","",J226/K226)</f>
        <v/>
      </c>
      <c r="N226" s="2" t="n">
        <v>0.11</v>
      </c>
      <c r="O226" s="13" t="n">
        <v>0.00022</v>
      </c>
      <c r="P226" s="2" t="s">
        <v>817</v>
      </c>
      <c r="Q226" s="14" t="n">
        <f aca="false">MAX(N226/DRIVERS!$B$5,O226/DRIVERS!$B$6)</f>
        <v>3.66666666666667E-005</v>
      </c>
      <c r="R226" s="15" t="n">
        <f aca="false">ROUNDDOWN(1/Q226,0)</f>
        <v>27272</v>
      </c>
      <c r="S226" s="5" t="n">
        <f aca="false">DRIVERS!$B$23*Q226/DRIVERS!$B$24</f>
        <v>0.190333947021503</v>
      </c>
      <c r="T226" s="5" t="n">
        <f aca="false">J226*INDEX(DRIVERS!$C$32:$C$42,MATCH(B226,DRIVERS!$A$32:$A$42,0))</f>
        <v>17.5</v>
      </c>
      <c r="U226" s="5" t="n">
        <f aca="false">J226*INDEX(SUPPLIERS!$E$3:$E$30,MATCH(C226,SUPPLIERS!$A$3:$A$30,0))</f>
        <v>0</v>
      </c>
      <c r="V226" s="5" t="n">
        <v>0</v>
      </c>
      <c r="W226" s="5" t="n">
        <f aca="false">J226+S226+T226+U226+V226</f>
        <v>367.690333947022</v>
      </c>
      <c r="X226" s="9" t="n">
        <f aca="false">W226/J226-1</f>
        <v>0.0505438112772043</v>
      </c>
      <c r="Y226" s="6" t="n">
        <f aca="false">INDEX(DRIVERS!$B$32:$B$42,MATCH(B226,DRIVERS!$A$32:$A$42,0))</f>
        <v>0.3</v>
      </c>
      <c r="Z226" s="5" t="n">
        <f aca="false">W226*(1+Y226)</f>
        <v>477.997434131128</v>
      </c>
      <c r="AA226" s="5" t="n">
        <f aca="false">W226*(1+Y226+DRIVERS!$B$26)*(1+DRIVERS!$B$27)</f>
        <v>555.947784927897</v>
      </c>
      <c r="AB226" s="2" t="s">
        <v>218</v>
      </c>
      <c r="AC226" s="8"/>
    </row>
    <row r="227" customFormat="false" ht="15" hidden="false" customHeight="false" outlineLevel="0" collapsed="false">
      <c r="A227" s="2" t="s">
        <v>888</v>
      </c>
      <c r="B227" s="2" t="s">
        <v>750</v>
      </c>
      <c r="C227" s="2" t="s">
        <v>92</v>
      </c>
      <c r="D227" s="2" t="s">
        <v>889</v>
      </c>
      <c r="F227" s="2" t="s">
        <v>186</v>
      </c>
      <c r="G227" s="2" t="s">
        <v>186</v>
      </c>
      <c r="H227" s="5" t="n">
        <v>450</v>
      </c>
      <c r="I227" s="6" t="n">
        <f aca="false">INDEX(SUPPLIERS!$D$3:$D$30,MATCH(C227,SUPPLIERS!$A$3:$A$30,0))</f>
        <v>0</v>
      </c>
      <c r="J227" s="5" t="n">
        <f aca="false">H227*(1-I227)</f>
        <v>450</v>
      </c>
      <c r="M227" s="5" t="str">
        <f aca="false">IF(K227="","",J227/K227)</f>
        <v/>
      </c>
      <c r="N227" s="2" t="n">
        <v>0.0215</v>
      </c>
      <c r="O227" s="13" t="n">
        <v>4.3E-005</v>
      </c>
      <c r="P227" s="2" t="s">
        <v>817</v>
      </c>
      <c r="Q227" s="14" t="n">
        <f aca="false">MAX(N227/DRIVERS!$B$5,O227/DRIVERS!$B$6)</f>
        <v>7.16666666666667E-006</v>
      </c>
      <c r="R227" s="15" t="n">
        <f aca="false">ROUNDDOWN(1/Q227,0)</f>
        <v>139534</v>
      </c>
      <c r="S227" s="5" t="n">
        <f aca="false">DRIVERS!$B$23*Q227/DRIVERS!$B$24</f>
        <v>0.0372016350996574</v>
      </c>
      <c r="T227" s="5" t="n">
        <f aca="false">J227*INDEX(DRIVERS!$C$32:$C$42,MATCH(B227,DRIVERS!$A$32:$A$42,0))</f>
        <v>22.5</v>
      </c>
      <c r="U227" s="5" t="n">
        <f aca="false">J227*INDEX(SUPPLIERS!$E$3:$E$30,MATCH(C227,SUPPLIERS!$A$3:$A$30,0))</f>
        <v>0</v>
      </c>
      <c r="V227" s="5" t="n">
        <v>0</v>
      </c>
      <c r="W227" s="5" t="n">
        <f aca="false">J227+S227+T227+U227+V227</f>
        <v>472.5372016351</v>
      </c>
      <c r="X227" s="9" t="n">
        <f aca="false">W227/J227-1</f>
        <v>0.0500826703002215</v>
      </c>
      <c r="Y227" s="6" t="n">
        <f aca="false">INDEX(DRIVERS!$B$32:$B$42,MATCH(B227,DRIVERS!$A$32:$A$42,0))</f>
        <v>0.3</v>
      </c>
      <c r="Z227" s="5" t="n">
        <f aca="false">W227*(1+Y227)</f>
        <v>614.29836212563</v>
      </c>
      <c r="AA227" s="5" t="n">
        <f aca="false">W227*(1+Y227+DRIVERS!$B$26)*(1+DRIVERS!$B$27)</f>
        <v>714.476248872271</v>
      </c>
      <c r="AB227" s="2" t="s">
        <v>218</v>
      </c>
      <c r="AC227" s="8"/>
    </row>
    <row r="228" customFormat="false" ht="15" hidden="false" customHeight="false" outlineLevel="0" collapsed="false">
      <c r="A228" s="2" t="s">
        <v>890</v>
      </c>
      <c r="B228" s="2" t="s">
        <v>891</v>
      </c>
      <c r="C228" s="2" t="s">
        <v>90</v>
      </c>
      <c r="D228" s="2" t="s">
        <v>892</v>
      </c>
      <c r="E228" s="2" t="s">
        <v>893</v>
      </c>
      <c r="F228" s="2" t="s">
        <v>186</v>
      </c>
      <c r="G228" s="2" t="s">
        <v>186</v>
      </c>
      <c r="H228" s="5" t="n">
        <v>1500</v>
      </c>
      <c r="I228" s="6" t="n">
        <f aca="false">INDEX(SUPPLIERS!$D$3:$D$30,MATCH(C228,SUPPLIERS!$A$3:$A$30,0))</f>
        <v>0</v>
      </c>
      <c r="J228" s="5" t="n">
        <f aca="false">H228*(1-I228)</f>
        <v>1500</v>
      </c>
      <c r="M228" s="5" t="str">
        <f aca="false">IF(K228="","",J228/K228)</f>
        <v/>
      </c>
      <c r="N228" s="2" t="n">
        <v>0.85</v>
      </c>
      <c r="O228" s="13" t="n">
        <v>0.00133</v>
      </c>
      <c r="P228" s="2" t="s">
        <v>310</v>
      </c>
      <c r="Q228" s="14" t="n">
        <f aca="false">MAX(N228/DRIVERS!$B$5,O228/DRIVERS!$B$6)</f>
        <v>0.000283333333333333</v>
      </c>
      <c r="R228" s="15" t="n">
        <f aca="false">ROUNDDOWN(1/Q228,0)</f>
        <v>3529</v>
      </c>
      <c r="S228" s="5" t="n">
        <f aca="false">DRIVERS!$B$23*Q228/DRIVERS!$B$24</f>
        <v>1.47076231789343</v>
      </c>
      <c r="T228" s="5" t="n">
        <f aca="false">J228*INDEX(DRIVERS!$C$32:$C$42,MATCH(B228,DRIVERS!$A$32:$A$42,0))</f>
        <v>0</v>
      </c>
      <c r="U228" s="5" t="n">
        <f aca="false">J228*INDEX(SUPPLIERS!$E$3:$E$30,MATCH(C228,SUPPLIERS!$A$3:$A$30,0))</f>
        <v>0</v>
      </c>
      <c r="V228" s="5" t="n">
        <v>0</v>
      </c>
      <c r="W228" s="5" t="n">
        <f aca="false">J228+S228+T228+U228+V228</f>
        <v>1501.47076231789</v>
      </c>
      <c r="X228" s="9" t="n">
        <f aca="false">W228/J228-1</f>
        <v>0.000980508211928965</v>
      </c>
      <c r="Y228" s="6" t="n">
        <f aca="false">INDEX(DRIVERS!$B$32:$B$42,MATCH(B228,DRIVERS!$A$32:$A$42,0))</f>
        <v>0.3</v>
      </c>
      <c r="Z228" s="5" t="n">
        <f aca="false">W228*(1+Y228)</f>
        <v>1951.91199101326</v>
      </c>
      <c r="AA228" s="5" t="n">
        <f aca="false">W228*(1+Y228+DRIVERS!$B$26)*(1+DRIVERS!$B$27)</f>
        <v>2270.22379262466</v>
      </c>
      <c r="AB228" s="2" t="s">
        <v>205</v>
      </c>
      <c r="AC228" s="8"/>
    </row>
    <row r="229" customFormat="false" ht="15" hidden="false" customHeight="false" outlineLevel="0" collapsed="false">
      <c r="A229" s="2" t="s">
        <v>894</v>
      </c>
      <c r="B229" s="2" t="s">
        <v>891</v>
      </c>
      <c r="C229" s="2" t="s">
        <v>90</v>
      </c>
      <c r="D229" s="2" t="s">
        <v>895</v>
      </c>
      <c r="E229" s="2" t="s">
        <v>896</v>
      </c>
      <c r="F229" s="2" t="s">
        <v>186</v>
      </c>
      <c r="G229" s="2" t="s">
        <v>186</v>
      </c>
      <c r="H229" s="5" t="n">
        <v>2200</v>
      </c>
      <c r="I229" s="6" t="n">
        <f aca="false">INDEX(SUPPLIERS!$D$3:$D$30,MATCH(C229,SUPPLIERS!$A$3:$A$30,0))</f>
        <v>0</v>
      </c>
      <c r="J229" s="5" t="n">
        <f aca="false">H229*(1-I229)</f>
        <v>2200</v>
      </c>
      <c r="M229" s="5" t="str">
        <f aca="false">IF(K229="","",J229/K229)</f>
        <v/>
      </c>
      <c r="N229" s="2" t="n">
        <v>2.34</v>
      </c>
      <c r="O229" s="13" t="n">
        <v>0.00258</v>
      </c>
      <c r="P229" s="2" t="s">
        <v>310</v>
      </c>
      <c r="Q229" s="14" t="n">
        <f aca="false">MAX(N229/DRIVERS!$B$5,O229/DRIVERS!$B$6)</f>
        <v>0.00078</v>
      </c>
      <c r="R229" s="15" t="n">
        <f aca="false">ROUNDDOWN(1/Q229,0)</f>
        <v>1282</v>
      </c>
      <c r="S229" s="5" t="n">
        <f aca="false">DRIVERS!$B$23*Q229/DRIVERS!$B$24</f>
        <v>4.04892214573016</v>
      </c>
      <c r="T229" s="5" t="n">
        <f aca="false">J229*INDEX(DRIVERS!$C$32:$C$42,MATCH(B229,DRIVERS!$A$32:$A$42,0))</f>
        <v>0</v>
      </c>
      <c r="U229" s="5" t="n">
        <f aca="false">J229*INDEX(SUPPLIERS!$E$3:$E$30,MATCH(C229,SUPPLIERS!$A$3:$A$30,0))</f>
        <v>0</v>
      </c>
      <c r="V229" s="5" t="n">
        <v>0</v>
      </c>
      <c r="W229" s="5" t="n">
        <f aca="false">J229+S229+T229+U229+V229</f>
        <v>2204.04892214573</v>
      </c>
      <c r="X229" s="9" t="n">
        <f aca="false">W229/J229-1</f>
        <v>0.00184041915714994</v>
      </c>
      <c r="Y229" s="6" t="n">
        <f aca="false">INDEX(DRIVERS!$B$32:$B$42,MATCH(B229,DRIVERS!$A$32:$A$42,0))</f>
        <v>0.3</v>
      </c>
      <c r="Z229" s="5" t="n">
        <f aca="false">W229*(1+Y229)</f>
        <v>2865.26359878945</v>
      </c>
      <c r="AA229" s="5" t="n">
        <f aca="false">W229*(1+Y229+DRIVERS!$B$26)*(1+DRIVERS!$B$27)</f>
        <v>3332.52197028434</v>
      </c>
      <c r="AB229" s="2" t="s">
        <v>205</v>
      </c>
      <c r="AC229" s="8"/>
    </row>
    <row r="230" customFormat="false" ht="15" hidden="false" customHeight="false" outlineLevel="0" collapsed="false">
      <c r="A230" s="2" t="s">
        <v>70</v>
      </c>
      <c r="B230" s="2" t="s">
        <v>891</v>
      </c>
      <c r="C230" s="2" t="s">
        <v>90</v>
      </c>
      <c r="D230" s="2" t="s">
        <v>897</v>
      </c>
      <c r="E230" s="2" t="s">
        <v>898</v>
      </c>
      <c r="F230" s="2" t="s">
        <v>186</v>
      </c>
      <c r="G230" s="2" t="s">
        <v>186</v>
      </c>
      <c r="H230" s="5" t="n">
        <v>2400</v>
      </c>
      <c r="I230" s="6" t="n">
        <f aca="false">INDEX(SUPPLIERS!$D$3:$D$30,MATCH(C230,SUPPLIERS!$A$3:$A$30,0))</f>
        <v>0</v>
      </c>
      <c r="J230" s="5" t="n">
        <f aca="false">H230*(1-I230)</f>
        <v>2400</v>
      </c>
      <c r="M230" s="5" t="str">
        <f aca="false">IF(K230="","",J230/K230)</f>
        <v/>
      </c>
      <c r="N230" s="2" t="n">
        <v>3</v>
      </c>
      <c r="O230" s="13" t="n">
        <v>0.00918</v>
      </c>
      <c r="P230" s="2" t="s">
        <v>310</v>
      </c>
      <c r="Q230" s="14" t="n">
        <f aca="false">MAX(N230/DRIVERS!$B$5,O230/DRIVERS!$B$6)</f>
        <v>0.001</v>
      </c>
      <c r="R230" s="15" t="n">
        <f aca="false">ROUNDDOWN(1/Q230,0)</f>
        <v>1000</v>
      </c>
      <c r="S230" s="5" t="n">
        <f aca="false">DRIVERS!$B$23*Q230/DRIVERS!$B$24</f>
        <v>5.19092582785918</v>
      </c>
      <c r="T230" s="5" t="n">
        <f aca="false">J230*INDEX(DRIVERS!$C$32:$C$42,MATCH(B230,DRIVERS!$A$32:$A$42,0))</f>
        <v>0</v>
      </c>
      <c r="U230" s="5" t="n">
        <f aca="false">J230*INDEX(SUPPLIERS!$E$3:$E$30,MATCH(C230,SUPPLIERS!$A$3:$A$30,0))</f>
        <v>0</v>
      </c>
      <c r="V230" s="5" t="n">
        <v>0</v>
      </c>
      <c r="W230" s="5" t="n">
        <f aca="false">J230+S230+T230+U230+V230</f>
        <v>2405.19092582786</v>
      </c>
      <c r="X230" s="9" t="n">
        <f aca="false">W230/J230-1</f>
        <v>0.00216288576160806</v>
      </c>
      <c r="Y230" s="6" t="n">
        <f aca="false">INDEX(DRIVERS!$B$32:$B$42,MATCH(B230,DRIVERS!$A$32:$A$42,0))</f>
        <v>0.3</v>
      </c>
      <c r="Z230" s="5" t="n">
        <f aca="false">W230*(1+Y230)</f>
        <v>3126.74820357622</v>
      </c>
      <c r="AA230" s="5" t="n">
        <f aca="false">W230*(1+Y230+DRIVERS!$B$26)*(1+DRIVERS!$B$27)</f>
        <v>3636.64867985172</v>
      </c>
      <c r="AB230" s="2" t="s">
        <v>205</v>
      </c>
      <c r="AC230" s="8"/>
    </row>
    <row r="231" customFormat="false" ht="15" hidden="false" customHeight="false" outlineLevel="0" collapsed="false">
      <c r="A231" s="2" t="s">
        <v>899</v>
      </c>
      <c r="B231" s="2" t="s">
        <v>891</v>
      </c>
      <c r="C231" s="2" t="s">
        <v>90</v>
      </c>
      <c r="D231" s="2" t="s">
        <v>900</v>
      </c>
      <c r="E231" s="2" t="s">
        <v>901</v>
      </c>
      <c r="F231" s="2" t="s">
        <v>186</v>
      </c>
      <c r="G231" s="2" t="s">
        <v>186</v>
      </c>
      <c r="H231" s="5" t="n">
        <v>2600</v>
      </c>
      <c r="I231" s="6" t="n">
        <f aca="false">INDEX(SUPPLIERS!$D$3:$D$30,MATCH(C231,SUPPLIERS!$A$3:$A$30,0))</f>
        <v>0</v>
      </c>
      <c r="J231" s="5" t="n">
        <f aca="false">H231*(1-I231)</f>
        <v>2600</v>
      </c>
      <c r="M231" s="5" t="str">
        <f aca="false">IF(K231="","",J231/K231)</f>
        <v/>
      </c>
      <c r="N231" s="2" t="n">
        <v>2.1</v>
      </c>
      <c r="O231" s="13" t="n">
        <v>0.00386</v>
      </c>
      <c r="P231" s="2" t="s">
        <v>310</v>
      </c>
      <c r="Q231" s="14" t="n">
        <f aca="false">MAX(N231/DRIVERS!$B$5,O231/DRIVERS!$B$6)</f>
        <v>0.0007</v>
      </c>
      <c r="R231" s="15" t="n">
        <f aca="false">ROUNDDOWN(1/Q231,0)</f>
        <v>1428</v>
      </c>
      <c r="S231" s="5" t="n">
        <f aca="false">DRIVERS!$B$23*Q231/DRIVERS!$B$24</f>
        <v>3.63364807950143</v>
      </c>
      <c r="T231" s="5" t="n">
        <f aca="false">J231*INDEX(DRIVERS!$C$32:$C$42,MATCH(B231,DRIVERS!$A$32:$A$42,0))</f>
        <v>0</v>
      </c>
      <c r="U231" s="5" t="n">
        <f aca="false">J231*INDEX(SUPPLIERS!$E$3:$E$30,MATCH(C231,SUPPLIERS!$A$3:$A$30,0))</f>
        <v>0</v>
      </c>
      <c r="V231" s="5" t="n">
        <v>0</v>
      </c>
      <c r="W231" s="5" t="n">
        <f aca="false">J231+S231+T231+U231+V231</f>
        <v>2603.6336480795</v>
      </c>
      <c r="X231" s="9" t="n">
        <f aca="false">W231/J231-1</f>
        <v>0.0013975569536544</v>
      </c>
      <c r="Y231" s="6" t="n">
        <f aca="false">INDEX(DRIVERS!$B$32:$B$42,MATCH(B231,DRIVERS!$A$32:$A$42,0))</f>
        <v>0.3</v>
      </c>
      <c r="Z231" s="5" t="n">
        <f aca="false">W231*(1+Y231)</f>
        <v>3384.72374250335</v>
      </c>
      <c r="AA231" s="5" t="n">
        <f aca="false">W231*(1+Y231+DRIVERS!$B$26)*(1+DRIVERS!$B$27)</f>
        <v>3936.69407589621</v>
      </c>
      <c r="AB231" s="2" t="s">
        <v>205</v>
      </c>
      <c r="AC231" s="8"/>
    </row>
    <row r="232" customFormat="false" ht="15" hidden="false" customHeight="false" outlineLevel="0" collapsed="false">
      <c r="A232" s="2" t="s">
        <v>902</v>
      </c>
      <c r="B232" s="2" t="s">
        <v>891</v>
      </c>
      <c r="C232" s="2" t="s">
        <v>90</v>
      </c>
      <c r="D232" s="2" t="s">
        <v>903</v>
      </c>
      <c r="E232" s="2" t="s">
        <v>904</v>
      </c>
      <c r="F232" s="2" t="s">
        <v>186</v>
      </c>
      <c r="G232" s="2" t="s">
        <v>186</v>
      </c>
      <c r="H232" s="5" t="n">
        <v>3000</v>
      </c>
      <c r="I232" s="6" t="n">
        <f aca="false">INDEX(SUPPLIERS!$D$3:$D$30,MATCH(C232,SUPPLIERS!$A$3:$A$30,0))</f>
        <v>0</v>
      </c>
      <c r="J232" s="5" t="n">
        <f aca="false">H232*(1-I232)</f>
        <v>3000</v>
      </c>
      <c r="M232" s="5" t="str">
        <f aca="false">IF(K232="","",J232/K232)</f>
        <v/>
      </c>
      <c r="N232" s="2" t="n">
        <v>2.05</v>
      </c>
      <c r="O232" s="13" t="n">
        <v>0.00411</v>
      </c>
      <c r="P232" s="2" t="s">
        <v>310</v>
      </c>
      <c r="Q232" s="14" t="n">
        <f aca="false">MAX(N232/DRIVERS!$B$5,O232/DRIVERS!$B$6)</f>
        <v>0.000683333333333333</v>
      </c>
      <c r="R232" s="15" t="n">
        <f aca="false">ROUNDDOWN(1/Q232,0)</f>
        <v>1463</v>
      </c>
      <c r="S232" s="5" t="n">
        <f aca="false">DRIVERS!$B$23*Q232/DRIVERS!$B$24</f>
        <v>3.54713264903711</v>
      </c>
      <c r="T232" s="5" t="n">
        <f aca="false">J232*INDEX(DRIVERS!$C$32:$C$42,MATCH(B232,DRIVERS!$A$32:$A$42,0))</f>
        <v>0</v>
      </c>
      <c r="U232" s="5" t="n">
        <f aca="false">J232*INDEX(SUPPLIERS!$E$3:$E$30,MATCH(C232,SUPPLIERS!$A$3:$A$30,0))</f>
        <v>0</v>
      </c>
      <c r="V232" s="5" t="n">
        <v>0</v>
      </c>
      <c r="W232" s="5" t="n">
        <f aca="false">J232+S232+T232+U232+V232</f>
        <v>3003.54713264904</v>
      </c>
      <c r="X232" s="9" t="n">
        <f aca="false">W232/J232-1</f>
        <v>0.00118237754967887</v>
      </c>
      <c r="Y232" s="6" t="n">
        <f aca="false">INDEX(DRIVERS!$B$32:$B$42,MATCH(B232,DRIVERS!$A$32:$A$42,0))</f>
        <v>0.3</v>
      </c>
      <c r="Z232" s="5" t="n">
        <f aca="false">W232*(1+Y232)</f>
        <v>3904.61127244375</v>
      </c>
      <c r="AA232" s="5" t="n">
        <f aca="false">W232*(1+Y232+DRIVERS!$B$26)*(1+DRIVERS!$B$27)</f>
        <v>4541.36326456535</v>
      </c>
      <c r="AB232" s="2" t="s">
        <v>205</v>
      </c>
      <c r="AC232" s="8"/>
    </row>
    <row r="233" customFormat="false" ht="15" hidden="false" customHeight="false" outlineLevel="0" collapsed="false">
      <c r="A233" s="2" t="s">
        <v>905</v>
      </c>
      <c r="B233" s="2" t="s">
        <v>891</v>
      </c>
      <c r="C233" s="2" t="s">
        <v>90</v>
      </c>
      <c r="D233" s="2" t="s">
        <v>906</v>
      </c>
      <c r="E233" s="2" t="s">
        <v>907</v>
      </c>
      <c r="F233" s="2" t="s">
        <v>186</v>
      </c>
      <c r="G233" s="2" t="s">
        <v>186</v>
      </c>
      <c r="H233" s="5" t="n">
        <v>3000</v>
      </c>
      <c r="I233" s="6" t="n">
        <f aca="false">INDEX(SUPPLIERS!$D$3:$D$30,MATCH(C233,SUPPLIERS!$A$3:$A$30,0))</f>
        <v>0</v>
      </c>
      <c r="J233" s="5" t="n">
        <f aca="false">H233*(1-I233)</f>
        <v>3000</v>
      </c>
      <c r="M233" s="5" t="str">
        <f aca="false">IF(K233="","",J233/K233)</f>
        <v/>
      </c>
      <c r="N233" s="2" t="n">
        <v>3</v>
      </c>
      <c r="O233" s="13" t="n">
        <v>0.00186</v>
      </c>
      <c r="P233" s="2" t="s">
        <v>908</v>
      </c>
      <c r="Q233" s="14" t="n">
        <f aca="false">MAX(N233/DRIVERS!$B$5,O233/DRIVERS!$B$6)</f>
        <v>0.001</v>
      </c>
      <c r="R233" s="15" t="n">
        <f aca="false">ROUNDDOWN(1/Q233,0)</f>
        <v>1000</v>
      </c>
      <c r="S233" s="5" t="n">
        <f aca="false">DRIVERS!$B$23*Q233/DRIVERS!$B$24</f>
        <v>5.19092582785918</v>
      </c>
      <c r="T233" s="5" t="n">
        <f aca="false">J233*INDEX(DRIVERS!$C$32:$C$42,MATCH(B233,DRIVERS!$A$32:$A$42,0))</f>
        <v>0</v>
      </c>
      <c r="U233" s="5" t="n">
        <f aca="false">J233*INDEX(SUPPLIERS!$E$3:$E$30,MATCH(C233,SUPPLIERS!$A$3:$A$30,0))</f>
        <v>0</v>
      </c>
      <c r="V233" s="5" t="n">
        <v>0</v>
      </c>
      <c r="W233" s="5" t="n">
        <f aca="false">J233+S233+T233+U233+V233</f>
        <v>3005.19092582786</v>
      </c>
      <c r="X233" s="9" t="n">
        <f aca="false">W233/J233-1</f>
        <v>0.00173030860928636</v>
      </c>
      <c r="Y233" s="6" t="n">
        <f aca="false">INDEX(DRIVERS!$B$32:$B$42,MATCH(B233,DRIVERS!$A$32:$A$42,0))</f>
        <v>0.3</v>
      </c>
      <c r="Z233" s="5" t="n">
        <f aca="false">W233*(1+Y233)</f>
        <v>3906.74820357622</v>
      </c>
      <c r="AA233" s="5" t="n">
        <f aca="false">W233*(1+Y233+DRIVERS!$B$26)*(1+DRIVERS!$B$27)</f>
        <v>4543.84867985172</v>
      </c>
      <c r="AB233" s="2" t="s">
        <v>205</v>
      </c>
      <c r="AC233" s="8"/>
    </row>
    <row r="234" customFormat="false" ht="15" hidden="false" customHeight="false" outlineLevel="0" collapsed="false">
      <c r="A234" s="2" t="s">
        <v>909</v>
      </c>
      <c r="B234" s="2" t="s">
        <v>891</v>
      </c>
      <c r="C234" s="2" t="s">
        <v>90</v>
      </c>
      <c r="D234" s="2" t="s">
        <v>910</v>
      </c>
      <c r="E234" s="2" t="s">
        <v>911</v>
      </c>
      <c r="F234" s="2" t="s">
        <v>186</v>
      </c>
      <c r="G234" s="2" t="s">
        <v>186</v>
      </c>
      <c r="H234" s="5" t="n">
        <v>3500</v>
      </c>
      <c r="I234" s="6" t="n">
        <f aca="false">INDEX(SUPPLIERS!$D$3:$D$30,MATCH(C234,SUPPLIERS!$A$3:$A$30,0))</f>
        <v>0</v>
      </c>
      <c r="J234" s="5" t="n">
        <f aca="false">H234*(1-I234)</f>
        <v>3500</v>
      </c>
      <c r="M234" s="5" t="str">
        <f aca="false">IF(K234="","",J234/K234)</f>
        <v/>
      </c>
      <c r="N234" s="2" t="n">
        <v>1.65</v>
      </c>
      <c r="O234" s="13" t="n">
        <v>0.00221</v>
      </c>
      <c r="P234" s="2" t="s">
        <v>310</v>
      </c>
      <c r="Q234" s="14" t="n">
        <f aca="false">MAX(N234/DRIVERS!$B$5,O234/DRIVERS!$B$6)</f>
        <v>0.00055</v>
      </c>
      <c r="R234" s="15" t="n">
        <f aca="false">ROUNDDOWN(1/Q234,0)</f>
        <v>1818</v>
      </c>
      <c r="S234" s="5" t="n">
        <f aca="false">DRIVERS!$B$23*Q234/DRIVERS!$B$24</f>
        <v>2.85500920532255</v>
      </c>
      <c r="T234" s="5" t="n">
        <f aca="false">J234*INDEX(DRIVERS!$C$32:$C$42,MATCH(B234,DRIVERS!$A$32:$A$42,0))</f>
        <v>0</v>
      </c>
      <c r="U234" s="5" t="n">
        <f aca="false">J234*INDEX(SUPPLIERS!$E$3:$E$30,MATCH(C234,SUPPLIERS!$A$3:$A$30,0))</f>
        <v>0</v>
      </c>
      <c r="V234" s="5" t="n">
        <v>0</v>
      </c>
      <c r="W234" s="5" t="n">
        <f aca="false">J234+S234+T234+U234+V234</f>
        <v>3502.85500920532</v>
      </c>
      <c r="X234" s="9" t="n">
        <f aca="false">W234/J234-1</f>
        <v>0.000815716915806508</v>
      </c>
      <c r="Y234" s="6" t="n">
        <f aca="false">INDEX(DRIVERS!$B$32:$B$42,MATCH(B234,DRIVERS!$A$32:$A$42,0))</f>
        <v>0.3</v>
      </c>
      <c r="Z234" s="5" t="n">
        <f aca="false">W234*(1+Y234)</f>
        <v>4553.71151196692</v>
      </c>
      <c r="AA234" s="5" t="n">
        <f aca="false">W234*(1+Y234+DRIVERS!$B$26)*(1+DRIVERS!$B$27)</f>
        <v>5296.31677391845</v>
      </c>
      <c r="AB234" s="2" t="s">
        <v>205</v>
      </c>
      <c r="AC234" s="8"/>
    </row>
    <row r="235" customFormat="false" ht="15" hidden="false" customHeight="false" outlineLevel="0" collapsed="false">
      <c r="A235" s="2" t="s">
        <v>912</v>
      </c>
      <c r="B235" s="2" t="s">
        <v>891</v>
      </c>
      <c r="C235" s="2" t="s">
        <v>90</v>
      </c>
      <c r="D235" s="2" t="s">
        <v>913</v>
      </c>
      <c r="E235" s="2" t="s">
        <v>914</v>
      </c>
      <c r="F235" s="2" t="s">
        <v>186</v>
      </c>
      <c r="G235" s="2" t="s">
        <v>186</v>
      </c>
      <c r="H235" s="5" t="n">
        <v>350</v>
      </c>
      <c r="I235" s="6" t="n">
        <f aca="false">INDEX(SUPPLIERS!$D$3:$D$30,MATCH(C235,SUPPLIERS!$A$3:$A$30,0))</f>
        <v>0</v>
      </c>
      <c r="J235" s="5" t="n">
        <f aca="false">H235*(1-I235)</f>
        <v>350</v>
      </c>
      <c r="M235" s="5" t="str">
        <f aca="false">IF(K235="","",J235/K235)</f>
        <v/>
      </c>
      <c r="N235" s="2" t="n">
        <v>0.2</v>
      </c>
      <c r="O235" s="13" t="n">
        <v>0.00029</v>
      </c>
      <c r="P235" s="2" t="s">
        <v>310</v>
      </c>
      <c r="Q235" s="14" t="n">
        <f aca="false">MAX(N235/DRIVERS!$B$5,O235/DRIVERS!$B$6)</f>
        <v>6.66666666666667E-005</v>
      </c>
      <c r="R235" s="15" t="n">
        <f aca="false">ROUNDDOWN(1/Q235,0)</f>
        <v>15000</v>
      </c>
      <c r="S235" s="5" t="n">
        <f aca="false">DRIVERS!$B$23*Q235/DRIVERS!$B$24</f>
        <v>0.346061721857279</v>
      </c>
      <c r="T235" s="5" t="n">
        <f aca="false">J235*INDEX(DRIVERS!$C$32:$C$42,MATCH(B235,DRIVERS!$A$32:$A$42,0))</f>
        <v>0</v>
      </c>
      <c r="U235" s="5" t="n">
        <f aca="false">J235*INDEX(SUPPLIERS!$E$3:$E$30,MATCH(C235,SUPPLIERS!$A$3:$A$30,0))</f>
        <v>0</v>
      </c>
      <c r="V235" s="5" t="n">
        <v>0</v>
      </c>
      <c r="W235" s="5" t="n">
        <f aca="false">J235+S235+T235+U235+V235</f>
        <v>350.346061721857</v>
      </c>
      <c r="X235" s="9" t="n">
        <f aca="false">W235/J235-1</f>
        <v>0.000988747776734966</v>
      </c>
      <c r="Y235" s="6" t="n">
        <f aca="false">INDEX(DRIVERS!$B$32:$B$42,MATCH(B235,DRIVERS!$A$32:$A$42,0))</f>
        <v>0.3</v>
      </c>
      <c r="Z235" s="5" t="n">
        <f aca="false">W235*(1+Y235)</f>
        <v>455.449880238414</v>
      </c>
      <c r="AA235" s="5" t="n">
        <f aca="false">W235*(1+Y235+DRIVERS!$B$26)*(1+DRIVERS!$B$27)</f>
        <v>529.723245323448</v>
      </c>
      <c r="AB235" s="2" t="s">
        <v>205</v>
      </c>
      <c r="AC235" s="8"/>
    </row>
    <row r="236" customFormat="false" ht="15" hidden="false" customHeight="false" outlineLevel="0" collapsed="false">
      <c r="A236" s="2" t="s">
        <v>68</v>
      </c>
      <c r="B236" s="2" t="s">
        <v>891</v>
      </c>
      <c r="C236" s="2" t="s">
        <v>90</v>
      </c>
      <c r="D236" s="2" t="s">
        <v>915</v>
      </c>
      <c r="E236" s="2" t="s">
        <v>916</v>
      </c>
      <c r="F236" s="2" t="s">
        <v>186</v>
      </c>
      <c r="G236" s="2" t="s">
        <v>186</v>
      </c>
      <c r="H236" s="5" t="n">
        <v>500</v>
      </c>
      <c r="I236" s="6" t="n">
        <f aca="false">INDEX(SUPPLIERS!$D$3:$D$30,MATCH(C236,SUPPLIERS!$A$3:$A$30,0))</f>
        <v>0</v>
      </c>
      <c r="J236" s="5" t="n">
        <f aca="false">H236*(1-I236)</f>
        <v>500</v>
      </c>
      <c r="M236" s="5" t="str">
        <f aca="false">IF(K236="","",J236/K236)</f>
        <v/>
      </c>
      <c r="N236" s="2" t="n">
        <v>0.26</v>
      </c>
      <c r="O236" s="13" t="n">
        <v>0.00031</v>
      </c>
      <c r="P236" s="2" t="s">
        <v>310</v>
      </c>
      <c r="Q236" s="14" t="n">
        <f aca="false">MAX(N236/DRIVERS!$B$5,O236/DRIVERS!$B$6)</f>
        <v>8.66666666666667E-005</v>
      </c>
      <c r="R236" s="15" t="n">
        <f aca="false">ROUNDDOWN(1/Q236,0)</f>
        <v>11538</v>
      </c>
      <c r="S236" s="5" t="n">
        <f aca="false">DRIVERS!$B$23*Q236/DRIVERS!$B$24</f>
        <v>0.449880238414462</v>
      </c>
      <c r="T236" s="5" t="n">
        <f aca="false">J236*INDEX(DRIVERS!$C$32:$C$42,MATCH(B236,DRIVERS!$A$32:$A$42,0))</f>
        <v>0</v>
      </c>
      <c r="U236" s="5" t="n">
        <f aca="false">J236*INDEX(SUPPLIERS!$E$3:$E$30,MATCH(C236,SUPPLIERS!$A$3:$A$30,0))</f>
        <v>0</v>
      </c>
      <c r="V236" s="5" t="n">
        <v>0</v>
      </c>
      <c r="W236" s="5" t="n">
        <f aca="false">J236+S236+T236+U236+V236</f>
        <v>500.449880238414</v>
      </c>
      <c r="X236" s="9" t="n">
        <f aca="false">W236/J236-1</f>
        <v>0.000899760476828826</v>
      </c>
      <c r="Y236" s="6" t="n">
        <f aca="false">INDEX(DRIVERS!$B$32:$B$42,MATCH(B236,DRIVERS!$A$32:$A$42,0))</f>
        <v>0.3</v>
      </c>
      <c r="Z236" s="5" t="n">
        <f aca="false">W236*(1+Y236)</f>
        <v>650.584844309939</v>
      </c>
      <c r="AA236" s="5" t="n">
        <f aca="false">W236*(1+Y236+DRIVERS!$B$26)*(1+DRIVERS!$B$27)</f>
        <v>756.680218920483</v>
      </c>
      <c r="AB236" s="2" t="s">
        <v>205</v>
      </c>
      <c r="AC236" s="8"/>
    </row>
    <row r="237" customFormat="false" ht="15" hidden="false" customHeight="false" outlineLevel="0" collapsed="false">
      <c r="A237" s="2" t="s">
        <v>917</v>
      </c>
      <c r="B237" s="2" t="s">
        <v>891</v>
      </c>
      <c r="C237" s="2" t="s">
        <v>90</v>
      </c>
      <c r="D237" s="2" t="s">
        <v>918</v>
      </c>
      <c r="E237" s="2" t="s">
        <v>919</v>
      </c>
      <c r="F237" s="2" t="s">
        <v>186</v>
      </c>
      <c r="G237" s="2" t="s">
        <v>186</v>
      </c>
      <c r="H237" s="5" t="n">
        <v>500</v>
      </c>
      <c r="I237" s="6" t="n">
        <f aca="false">INDEX(SUPPLIERS!$D$3:$D$30,MATCH(C237,SUPPLIERS!$A$3:$A$30,0))</f>
        <v>0</v>
      </c>
      <c r="J237" s="5" t="n">
        <f aca="false">H237*(1-I237)</f>
        <v>500</v>
      </c>
      <c r="M237" s="5" t="str">
        <f aca="false">IF(K237="","",J237/K237)</f>
        <v/>
      </c>
      <c r="N237" s="2" t="n">
        <v>0.26</v>
      </c>
      <c r="O237" s="13" t="n">
        <v>0.00026</v>
      </c>
      <c r="P237" s="2" t="s">
        <v>310</v>
      </c>
      <c r="Q237" s="14" t="n">
        <f aca="false">MAX(N237/DRIVERS!$B$5,O237/DRIVERS!$B$6)</f>
        <v>8.66666666666667E-005</v>
      </c>
      <c r="R237" s="15" t="n">
        <f aca="false">ROUNDDOWN(1/Q237,0)</f>
        <v>11538</v>
      </c>
      <c r="S237" s="5" t="n">
        <f aca="false">DRIVERS!$B$23*Q237/DRIVERS!$B$24</f>
        <v>0.449880238414462</v>
      </c>
      <c r="T237" s="5" t="n">
        <f aca="false">J237*INDEX(DRIVERS!$C$32:$C$42,MATCH(B237,DRIVERS!$A$32:$A$42,0))</f>
        <v>0</v>
      </c>
      <c r="U237" s="5" t="n">
        <f aca="false">J237*INDEX(SUPPLIERS!$E$3:$E$30,MATCH(C237,SUPPLIERS!$A$3:$A$30,0))</f>
        <v>0</v>
      </c>
      <c r="V237" s="5" t="n">
        <v>0</v>
      </c>
      <c r="W237" s="5" t="n">
        <f aca="false">J237+S237+T237+U237+V237</f>
        <v>500.449880238414</v>
      </c>
      <c r="X237" s="9" t="n">
        <f aca="false">W237/J237-1</f>
        <v>0.000899760476828826</v>
      </c>
      <c r="Y237" s="6" t="n">
        <f aca="false">INDEX(DRIVERS!$B$32:$B$42,MATCH(B237,DRIVERS!$A$32:$A$42,0))</f>
        <v>0.3</v>
      </c>
      <c r="Z237" s="5" t="n">
        <f aca="false">W237*(1+Y237)</f>
        <v>650.584844309939</v>
      </c>
      <c r="AA237" s="5" t="n">
        <f aca="false">W237*(1+Y237+DRIVERS!$B$26)*(1+DRIVERS!$B$27)</f>
        <v>756.680218920483</v>
      </c>
      <c r="AB237" s="2" t="s">
        <v>205</v>
      </c>
      <c r="AC237" s="8"/>
    </row>
    <row r="238" customFormat="false" ht="15" hidden="false" customHeight="false" outlineLevel="0" collapsed="false">
      <c r="A238" s="2" t="s">
        <v>920</v>
      </c>
      <c r="B238" s="2" t="s">
        <v>891</v>
      </c>
      <c r="C238" s="2" t="s">
        <v>90</v>
      </c>
      <c r="D238" s="2" t="s">
        <v>921</v>
      </c>
      <c r="E238" s="2" t="s">
        <v>922</v>
      </c>
      <c r="F238" s="2" t="s">
        <v>186</v>
      </c>
      <c r="G238" s="2" t="s">
        <v>186</v>
      </c>
      <c r="H238" s="5" t="n">
        <v>900</v>
      </c>
      <c r="I238" s="6" t="n">
        <f aca="false">INDEX(SUPPLIERS!$D$3:$D$30,MATCH(C238,SUPPLIERS!$A$3:$A$30,0))</f>
        <v>0</v>
      </c>
      <c r="J238" s="5" t="n">
        <f aca="false">H238*(1-I238)</f>
        <v>900</v>
      </c>
      <c r="M238" s="5" t="str">
        <f aca="false">IF(K238="","",J238/K238)</f>
        <v/>
      </c>
      <c r="N238" s="2" t="n">
        <v>0.5</v>
      </c>
      <c r="O238" s="13" t="n">
        <v>0.00051</v>
      </c>
      <c r="P238" s="2" t="s">
        <v>310</v>
      </c>
      <c r="Q238" s="14" t="n">
        <f aca="false">MAX(N238/DRIVERS!$B$5,O238/DRIVERS!$B$6)</f>
        <v>0.000166666666666667</v>
      </c>
      <c r="R238" s="15" t="n">
        <f aca="false">ROUNDDOWN(1/Q238,0)</f>
        <v>6000</v>
      </c>
      <c r="S238" s="5" t="n">
        <f aca="false">DRIVERS!$B$23*Q238/DRIVERS!$B$24</f>
        <v>0.865154304643197</v>
      </c>
      <c r="T238" s="5" t="n">
        <f aca="false">J238*INDEX(DRIVERS!$C$32:$C$42,MATCH(B238,DRIVERS!$A$32:$A$42,0))</f>
        <v>0</v>
      </c>
      <c r="U238" s="5" t="n">
        <f aca="false">J238*INDEX(SUPPLIERS!$E$3:$E$30,MATCH(C238,SUPPLIERS!$A$3:$A$30,0))</f>
        <v>0</v>
      </c>
      <c r="V238" s="5" t="n">
        <v>0</v>
      </c>
      <c r="W238" s="5" t="n">
        <f aca="false">J238+S238+T238+U238+V238</f>
        <v>900.865154304643</v>
      </c>
      <c r="X238" s="9" t="n">
        <f aca="false">W238/J238-1</f>
        <v>0.000961282560714594</v>
      </c>
      <c r="Y238" s="6" t="n">
        <f aca="false">INDEX(DRIVERS!$B$32:$B$42,MATCH(B238,DRIVERS!$A$32:$A$42,0))</f>
        <v>0.3</v>
      </c>
      <c r="Z238" s="5" t="n">
        <f aca="false">W238*(1+Y238)</f>
        <v>1171.12470059604</v>
      </c>
      <c r="AA238" s="5" t="n">
        <f aca="false">W238*(1+Y238+DRIVERS!$B$26)*(1+DRIVERS!$B$27)</f>
        <v>1362.10811330862</v>
      </c>
      <c r="AB238" s="2" t="s">
        <v>205</v>
      </c>
      <c r="AC238" s="8"/>
    </row>
    <row r="239" customFormat="false" ht="15" hidden="false" customHeight="false" outlineLevel="0" collapsed="false">
      <c r="A239" s="2" t="s">
        <v>923</v>
      </c>
      <c r="B239" s="2" t="s">
        <v>891</v>
      </c>
      <c r="C239" s="2" t="s">
        <v>90</v>
      </c>
      <c r="D239" s="2" t="s">
        <v>924</v>
      </c>
      <c r="E239" s="2" t="s">
        <v>925</v>
      </c>
      <c r="F239" s="2" t="s">
        <v>186</v>
      </c>
      <c r="G239" s="2" t="s">
        <v>186</v>
      </c>
      <c r="H239" s="5" t="n">
        <v>1000</v>
      </c>
      <c r="I239" s="6" t="n">
        <f aca="false">INDEX(SUPPLIERS!$D$3:$D$30,MATCH(C239,SUPPLIERS!$A$3:$A$30,0))</f>
        <v>0</v>
      </c>
      <c r="J239" s="5" t="n">
        <f aca="false">H239*(1-I239)</f>
        <v>1000</v>
      </c>
      <c r="M239" s="5" t="str">
        <f aca="false">IF(K239="","",J239/K239)</f>
        <v/>
      </c>
      <c r="N239" s="2" t="n">
        <v>0.26</v>
      </c>
      <c r="O239" s="13" t="n">
        <v>0.00029</v>
      </c>
      <c r="P239" s="2" t="s">
        <v>310</v>
      </c>
      <c r="Q239" s="14" t="n">
        <f aca="false">MAX(N239/DRIVERS!$B$5,O239/DRIVERS!$B$6)</f>
        <v>8.66666666666667E-005</v>
      </c>
      <c r="R239" s="15" t="n">
        <f aca="false">ROUNDDOWN(1/Q239,0)</f>
        <v>11538</v>
      </c>
      <c r="S239" s="5" t="n">
        <f aca="false">DRIVERS!$B$23*Q239/DRIVERS!$B$24</f>
        <v>0.449880238414462</v>
      </c>
      <c r="T239" s="5" t="n">
        <f aca="false">J239*INDEX(DRIVERS!$C$32:$C$42,MATCH(B239,DRIVERS!$A$32:$A$42,0))</f>
        <v>0</v>
      </c>
      <c r="U239" s="5" t="n">
        <f aca="false">J239*INDEX(SUPPLIERS!$E$3:$E$30,MATCH(C239,SUPPLIERS!$A$3:$A$30,0))</f>
        <v>0</v>
      </c>
      <c r="V239" s="5" t="n">
        <v>0</v>
      </c>
      <c r="W239" s="5" t="n">
        <f aca="false">J239+S239+T239+U239+V239</f>
        <v>1000.44988023841</v>
      </c>
      <c r="X239" s="9" t="n">
        <f aca="false">W239/J239-1</f>
        <v>0.000449880238414524</v>
      </c>
      <c r="Y239" s="6" t="n">
        <f aca="false">INDEX(DRIVERS!$B$32:$B$42,MATCH(B239,DRIVERS!$A$32:$A$42,0))</f>
        <v>0.3</v>
      </c>
      <c r="Z239" s="5" t="n">
        <f aca="false">W239*(1+Y239)</f>
        <v>1300.58484430994</v>
      </c>
      <c r="AA239" s="5" t="n">
        <f aca="false">W239*(1+Y239+DRIVERS!$B$26)*(1+DRIVERS!$B$27)</f>
        <v>1512.68021892048</v>
      </c>
      <c r="AB239" s="2" t="s">
        <v>205</v>
      </c>
      <c r="AC239" s="8"/>
    </row>
    <row r="240" customFormat="false" ht="15" hidden="false" customHeight="false" outlineLevel="0" collapsed="false">
      <c r="A240" s="2" t="s">
        <v>926</v>
      </c>
      <c r="B240" s="2" t="s">
        <v>891</v>
      </c>
      <c r="C240" s="2" t="s">
        <v>90</v>
      </c>
      <c r="D240" s="2" t="s">
        <v>927</v>
      </c>
      <c r="E240" s="2" t="s">
        <v>928</v>
      </c>
      <c r="F240" s="2" t="s">
        <v>186</v>
      </c>
      <c r="G240" s="2" t="s">
        <v>186</v>
      </c>
      <c r="H240" s="5" t="n">
        <v>300</v>
      </c>
      <c r="I240" s="6" t="n">
        <f aca="false">INDEX(SUPPLIERS!$D$3:$D$30,MATCH(C240,SUPPLIERS!$A$3:$A$30,0))</f>
        <v>0</v>
      </c>
      <c r="J240" s="5" t="n">
        <f aca="false">H240*(1-I240)</f>
        <v>300</v>
      </c>
      <c r="M240" s="5" t="str">
        <f aca="false">IF(K240="","",J240/K240)</f>
        <v/>
      </c>
      <c r="N240" s="2" t="n">
        <v>0.25</v>
      </c>
      <c r="O240" s="13" t="n">
        <v>0.00017</v>
      </c>
      <c r="P240" s="2" t="s">
        <v>908</v>
      </c>
      <c r="Q240" s="14" t="n">
        <f aca="false">MAX(N240/DRIVERS!$B$5,O240/DRIVERS!$B$6)</f>
        <v>8.33333333333333E-005</v>
      </c>
      <c r="R240" s="15" t="n">
        <f aca="false">ROUNDDOWN(1/Q240,0)</f>
        <v>12000</v>
      </c>
      <c r="S240" s="5" t="n">
        <f aca="false">DRIVERS!$B$23*Q240/DRIVERS!$B$24</f>
        <v>0.432577152321598</v>
      </c>
      <c r="T240" s="5" t="n">
        <f aca="false">J240*INDEX(DRIVERS!$C$32:$C$42,MATCH(B240,DRIVERS!$A$32:$A$42,0))</f>
        <v>0</v>
      </c>
      <c r="U240" s="5" t="n">
        <f aca="false">J240*INDEX(SUPPLIERS!$E$3:$E$30,MATCH(C240,SUPPLIERS!$A$3:$A$30,0))</f>
        <v>0</v>
      </c>
      <c r="V240" s="5" t="n">
        <v>0</v>
      </c>
      <c r="W240" s="5" t="n">
        <f aca="false">J240+S240+T240+U240+V240</f>
        <v>300.432577152322</v>
      </c>
      <c r="X240" s="9" t="n">
        <f aca="false">W240/J240-1</f>
        <v>0.00144192384107189</v>
      </c>
      <c r="Y240" s="6" t="n">
        <f aca="false">INDEX(DRIVERS!$B$32:$B$42,MATCH(B240,DRIVERS!$A$32:$A$42,0))</f>
        <v>0.3</v>
      </c>
      <c r="Z240" s="5" t="n">
        <f aca="false">W240*(1+Y240)</f>
        <v>390.562350298018</v>
      </c>
      <c r="AA240" s="5" t="n">
        <f aca="false">W240*(1+Y240+DRIVERS!$B$26)*(1+DRIVERS!$B$27)</f>
        <v>454.25405665431</v>
      </c>
      <c r="AB240" s="2" t="s">
        <v>205</v>
      </c>
      <c r="AC240" s="8"/>
    </row>
    <row r="241" customFormat="false" ht="15" hidden="false" customHeight="false" outlineLevel="0" collapsed="false">
      <c r="A241" s="2" t="s">
        <v>929</v>
      </c>
      <c r="B241" s="2" t="s">
        <v>891</v>
      </c>
      <c r="C241" s="2" t="s">
        <v>90</v>
      </c>
      <c r="D241" s="2" t="s">
        <v>930</v>
      </c>
      <c r="E241" s="2" t="s">
        <v>931</v>
      </c>
      <c r="F241" s="2" t="s">
        <v>186</v>
      </c>
      <c r="G241" s="2" t="s">
        <v>186</v>
      </c>
      <c r="H241" s="5" t="n">
        <v>300</v>
      </c>
      <c r="I241" s="6" t="n">
        <f aca="false">INDEX(SUPPLIERS!$D$3:$D$30,MATCH(C241,SUPPLIERS!$A$3:$A$30,0))</f>
        <v>0</v>
      </c>
      <c r="J241" s="5" t="n">
        <f aca="false">H241*(1-I241)</f>
        <v>300</v>
      </c>
      <c r="M241" s="5" t="str">
        <f aca="false">IF(K241="","",J241/K241)</f>
        <v/>
      </c>
      <c r="N241" s="2" t="n">
        <v>0.085</v>
      </c>
      <c r="O241" s="13" t="n">
        <v>0.00013</v>
      </c>
      <c r="P241" s="2" t="s">
        <v>310</v>
      </c>
      <c r="Q241" s="14" t="n">
        <f aca="false">MAX(N241/DRIVERS!$B$5,O241/DRIVERS!$B$6)</f>
        <v>2.83333333333333E-005</v>
      </c>
      <c r="R241" s="15" t="n">
        <f aca="false">ROUNDDOWN(1/Q241,0)</f>
        <v>35294</v>
      </c>
      <c r="S241" s="5" t="n">
        <f aca="false">DRIVERS!$B$23*Q241/DRIVERS!$B$24</f>
        <v>0.147076231789343</v>
      </c>
      <c r="T241" s="5" t="n">
        <f aca="false">J241*INDEX(DRIVERS!$C$32:$C$42,MATCH(B241,DRIVERS!$A$32:$A$42,0))</f>
        <v>0</v>
      </c>
      <c r="U241" s="5" t="n">
        <f aca="false">J241*INDEX(SUPPLIERS!$E$3:$E$30,MATCH(C241,SUPPLIERS!$A$3:$A$30,0))</f>
        <v>0</v>
      </c>
      <c r="V241" s="5" t="n">
        <v>0</v>
      </c>
      <c r="W241" s="5" t="n">
        <f aca="false">J241+S241+T241+U241+V241</f>
        <v>300.147076231789</v>
      </c>
      <c r="X241" s="9" t="n">
        <f aca="false">W241/J241-1</f>
        <v>0.000490254105964594</v>
      </c>
      <c r="Y241" s="6" t="n">
        <f aca="false">INDEX(DRIVERS!$B$32:$B$42,MATCH(B241,DRIVERS!$A$32:$A$42,0))</f>
        <v>0.3</v>
      </c>
      <c r="Z241" s="5" t="n">
        <f aca="false">W241*(1+Y241)</f>
        <v>390.191199101326</v>
      </c>
      <c r="AA241" s="5" t="n">
        <f aca="false">W241*(1+Y241+DRIVERS!$B$26)*(1+DRIVERS!$B$27)</f>
        <v>453.822379262466</v>
      </c>
      <c r="AB241" s="2" t="s">
        <v>205</v>
      </c>
      <c r="AC241" s="8"/>
    </row>
    <row r="242" customFormat="false" ht="15" hidden="false" customHeight="false" outlineLevel="0" collapsed="false">
      <c r="A242" s="2" t="s">
        <v>932</v>
      </c>
      <c r="B242" s="2" t="s">
        <v>891</v>
      </c>
      <c r="C242" s="2" t="s">
        <v>90</v>
      </c>
      <c r="D242" s="2" t="s">
        <v>933</v>
      </c>
      <c r="E242" s="2" t="s">
        <v>934</v>
      </c>
      <c r="F242" s="2" t="s">
        <v>186</v>
      </c>
      <c r="G242" s="2" t="s">
        <v>186</v>
      </c>
      <c r="H242" s="5" t="n">
        <v>300</v>
      </c>
      <c r="I242" s="6" t="n">
        <f aca="false">INDEX(SUPPLIERS!$D$3:$D$30,MATCH(C242,SUPPLIERS!$A$3:$A$30,0))</f>
        <v>0</v>
      </c>
      <c r="J242" s="5" t="n">
        <f aca="false">H242*(1-I242)</f>
        <v>300</v>
      </c>
      <c r="M242" s="5" t="str">
        <f aca="false">IF(K242="","",J242/K242)</f>
        <v/>
      </c>
      <c r="N242" s="2" t="n">
        <v>0.1</v>
      </c>
      <c r="O242" s="13" t="n">
        <v>0.0002</v>
      </c>
      <c r="P242" s="2" t="s">
        <v>935</v>
      </c>
      <c r="Q242" s="14" t="n">
        <f aca="false">MAX(N242/DRIVERS!$B$5,O242/DRIVERS!$B$6)</f>
        <v>3.33333333333333E-005</v>
      </c>
      <c r="R242" s="15" t="n">
        <f aca="false">ROUNDDOWN(1/Q242,0)</f>
        <v>30000</v>
      </c>
      <c r="S242" s="5" t="n">
        <f aca="false">DRIVERS!$B$23*Q242/DRIVERS!$B$24</f>
        <v>0.173030860928639</v>
      </c>
      <c r="T242" s="5" t="n">
        <f aca="false">J242*INDEX(DRIVERS!$C$32:$C$42,MATCH(B242,DRIVERS!$A$32:$A$42,0))</f>
        <v>0</v>
      </c>
      <c r="U242" s="5" t="n">
        <f aca="false">J242*INDEX(SUPPLIERS!$E$3:$E$30,MATCH(C242,SUPPLIERS!$A$3:$A$30,0))</f>
        <v>0</v>
      </c>
      <c r="V242" s="5" t="n">
        <v>0</v>
      </c>
      <c r="W242" s="5" t="n">
        <f aca="false">J242+S242+T242+U242+V242</f>
        <v>300.173030860929</v>
      </c>
      <c r="X242" s="9" t="n">
        <f aca="false">W242/J242-1</f>
        <v>0.000576769536428712</v>
      </c>
      <c r="Y242" s="6" t="n">
        <f aca="false">INDEX(DRIVERS!$B$32:$B$42,MATCH(B242,DRIVERS!$A$32:$A$42,0))</f>
        <v>0.3</v>
      </c>
      <c r="Z242" s="5" t="n">
        <f aca="false">W242*(1+Y242)</f>
        <v>390.224940119207</v>
      </c>
      <c r="AA242" s="5" t="n">
        <f aca="false">W242*(1+Y242+DRIVERS!$B$26)*(1+DRIVERS!$B$27)</f>
        <v>453.861622661724</v>
      </c>
      <c r="AB242" s="2" t="s">
        <v>205</v>
      </c>
      <c r="AC242" s="8"/>
    </row>
    <row r="243" customFormat="false" ht="15" hidden="false" customHeight="false" outlineLevel="0" collapsed="false">
      <c r="A243" s="2" t="s">
        <v>936</v>
      </c>
      <c r="B243" s="2" t="s">
        <v>891</v>
      </c>
      <c r="C243" s="2" t="s">
        <v>90</v>
      </c>
      <c r="D243" s="2" t="s">
        <v>937</v>
      </c>
      <c r="E243" s="2" t="s">
        <v>938</v>
      </c>
      <c r="F243" s="2" t="s">
        <v>186</v>
      </c>
      <c r="G243" s="2" t="s">
        <v>186</v>
      </c>
      <c r="H243" s="5" t="n">
        <v>1300</v>
      </c>
      <c r="I243" s="6" t="n">
        <f aca="false">INDEX(SUPPLIERS!$D$3:$D$30,MATCH(C243,SUPPLIERS!$A$3:$A$30,0))</f>
        <v>0</v>
      </c>
      <c r="J243" s="5" t="n">
        <f aca="false">H243*(1-I243)</f>
        <v>1300</v>
      </c>
      <c r="M243" s="5" t="str">
        <f aca="false">IF(K243="","",J243/K243)</f>
        <v/>
      </c>
      <c r="N243" s="2" t="n">
        <v>0.8</v>
      </c>
      <c r="O243" s="13" t="n">
        <v>0.00223</v>
      </c>
      <c r="P243" s="2" t="s">
        <v>310</v>
      </c>
      <c r="Q243" s="14" t="n">
        <f aca="false">MAX(N243/DRIVERS!$B$5,O243/DRIVERS!$B$6)</f>
        <v>0.000266666666666667</v>
      </c>
      <c r="R243" s="15" t="n">
        <f aca="false">ROUNDDOWN(1/Q243,0)</f>
        <v>3750</v>
      </c>
      <c r="S243" s="5" t="n">
        <f aca="false">DRIVERS!$B$23*Q243/DRIVERS!$B$24</f>
        <v>1.38424688742911</v>
      </c>
      <c r="T243" s="5" t="n">
        <f aca="false">J243*INDEX(DRIVERS!$C$32:$C$42,MATCH(B243,DRIVERS!$A$32:$A$42,0))</f>
        <v>0</v>
      </c>
      <c r="U243" s="5" t="n">
        <f aca="false">J243*INDEX(SUPPLIERS!$E$3:$E$30,MATCH(C243,SUPPLIERS!$A$3:$A$30,0))</f>
        <v>0</v>
      </c>
      <c r="V243" s="5" t="n">
        <v>0</v>
      </c>
      <c r="W243" s="5" t="n">
        <f aca="false">J243+S243+T243+U243+V243</f>
        <v>1301.38424688743</v>
      </c>
      <c r="X243" s="9" t="n">
        <f aca="false">W243/J243-1</f>
        <v>0.00106480529802244</v>
      </c>
      <c r="Y243" s="6" t="n">
        <f aca="false">INDEX(DRIVERS!$B$32:$B$42,MATCH(B243,DRIVERS!$A$32:$A$42,0))</f>
        <v>0.3</v>
      </c>
      <c r="Z243" s="5" t="n">
        <f aca="false">W243*(1+Y243)</f>
        <v>1691.79952095366</v>
      </c>
      <c r="AA243" s="5" t="n">
        <f aca="false">W243*(1+Y243+DRIVERS!$B$26)*(1+DRIVERS!$B$27)</f>
        <v>1967.69298129379</v>
      </c>
      <c r="AB243" s="2" t="s">
        <v>205</v>
      </c>
      <c r="AC243" s="8"/>
    </row>
    <row r="244" customFormat="false" ht="15" hidden="false" customHeight="false" outlineLevel="0" collapsed="false">
      <c r="A244" s="2" t="s">
        <v>939</v>
      </c>
      <c r="B244" s="2" t="s">
        <v>891</v>
      </c>
      <c r="C244" s="2" t="s">
        <v>90</v>
      </c>
      <c r="D244" s="2" t="s">
        <v>940</v>
      </c>
      <c r="E244" s="2" t="s">
        <v>941</v>
      </c>
      <c r="F244" s="2" t="s">
        <v>186</v>
      </c>
      <c r="G244" s="2" t="s">
        <v>186</v>
      </c>
      <c r="H244" s="5" t="n">
        <v>500</v>
      </c>
      <c r="I244" s="6" t="n">
        <f aca="false">INDEX(SUPPLIERS!$D$3:$D$30,MATCH(C244,SUPPLIERS!$A$3:$A$30,0))</f>
        <v>0</v>
      </c>
      <c r="J244" s="5" t="n">
        <f aca="false">H244*(1-I244)</f>
        <v>500</v>
      </c>
      <c r="M244" s="5" t="str">
        <f aca="false">IF(K244="","",J244/K244)</f>
        <v/>
      </c>
      <c r="N244" s="2" t="n">
        <v>0.36</v>
      </c>
      <c r="O244" s="13" t="n">
        <v>0.0004</v>
      </c>
      <c r="P244" s="2" t="s">
        <v>310</v>
      </c>
      <c r="Q244" s="14" t="n">
        <f aca="false">MAX(N244/DRIVERS!$B$5,O244/DRIVERS!$B$6)</f>
        <v>0.00012</v>
      </c>
      <c r="R244" s="15" t="n">
        <f aca="false">ROUNDDOWN(1/Q244,0)</f>
        <v>8333</v>
      </c>
      <c r="S244" s="5" t="n">
        <f aca="false">DRIVERS!$B$23*Q244/DRIVERS!$B$24</f>
        <v>0.622911099343101</v>
      </c>
      <c r="T244" s="5" t="n">
        <f aca="false">J244*INDEX(DRIVERS!$C$32:$C$42,MATCH(B244,DRIVERS!$A$32:$A$42,0))</f>
        <v>0</v>
      </c>
      <c r="U244" s="5" t="n">
        <f aca="false">J244*INDEX(SUPPLIERS!$E$3:$E$30,MATCH(C244,SUPPLIERS!$A$3:$A$30,0))</f>
        <v>0</v>
      </c>
      <c r="V244" s="5" t="n">
        <v>0</v>
      </c>
      <c r="W244" s="5" t="n">
        <f aca="false">J244+S244+T244+U244+V244</f>
        <v>500.622911099343</v>
      </c>
      <c r="X244" s="9" t="n">
        <f aca="false">W244/J244-1</f>
        <v>0.00124582219868619</v>
      </c>
      <c r="Y244" s="6" t="n">
        <f aca="false">INDEX(DRIVERS!$B$32:$B$42,MATCH(B244,DRIVERS!$A$32:$A$42,0))</f>
        <v>0.3</v>
      </c>
      <c r="Z244" s="5" t="n">
        <f aca="false">W244*(1+Y244)</f>
        <v>650.809784429146</v>
      </c>
      <c r="AA244" s="5" t="n">
        <f aca="false">W244*(1+Y244+DRIVERS!$B$26)*(1+DRIVERS!$B$27)</f>
        <v>756.941841582207</v>
      </c>
      <c r="AB244" s="2" t="s">
        <v>205</v>
      </c>
      <c r="AC244" s="8"/>
    </row>
    <row r="245" customFormat="false" ht="15" hidden="false" customHeight="false" outlineLevel="0" collapsed="false">
      <c r="A245" s="2" t="s">
        <v>69</v>
      </c>
      <c r="B245" s="2" t="s">
        <v>891</v>
      </c>
      <c r="C245" s="2" t="s">
        <v>90</v>
      </c>
      <c r="D245" s="2" t="s">
        <v>942</v>
      </c>
      <c r="E245" s="2" t="s">
        <v>943</v>
      </c>
      <c r="F245" s="2" t="s">
        <v>186</v>
      </c>
      <c r="G245" s="2" t="s">
        <v>186</v>
      </c>
      <c r="H245" s="5" t="n">
        <v>1000</v>
      </c>
      <c r="I245" s="6" t="n">
        <f aca="false">INDEX(SUPPLIERS!$D$3:$D$30,MATCH(C245,SUPPLIERS!$A$3:$A$30,0))</f>
        <v>0</v>
      </c>
      <c r="J245" s="5" t="n">
        <f aca="false">H245*(1-I245)</f>
        <v>1000</v>
      </c>
      <c r="M245" s="5" t="str">
        <f aca="false">IF(K245="","",J245/K245)</f>
        <v/>
      </c>
      <c r="N245" s="2" t="n">
        <v>0.3</v>
      </c>
      <c r="O245" s="13" t="n">
        <v>0.00025</v>
      </c>
      <c r="P245" s="2" t="s">
        <v>310</v>
      </c>
      <c r="Q245" s="14" t="n">
        <f aca="false">MAX(N245/DRIVERS!$B$5,O245/DRIVERS!$B$6)</f>
        <v>1E-004</v>
      </c>
      <c r="R245" s="15" t="n">
        <f aca="false">ROUNDDOWN(1/Q245,0)</f>
        <v>10000</v>
      </c>
      <c r="S245" s="5" t="n">
        <f aca="false">DRIVERS!$B$23*Q245/DRIVERS!$B$24</f>
        <v>0.519092582785918</v>
      </c>
      <c r="T245" s="5" t="n">
        <f aca="false">J245*INDEX(DRIVERS!$C$32:$C$42,MATCH(B245,DRIVERS!$A$32:$A$42,0))</f>
        <v>0</v>
      </c>
      <c r="U245" s="5" t="n">
        <f aca="false">J245*INDEX(SUPPLIERS!$E$3:$E$30,MATCH(C245,SUPPLIERS!$A$3:$A$30,0))</f>
        <v>0</v>
      </c>
      <c r="V245" s="5" t="n">
        <v>0</v>
      </c>
      <c r="W245" s="5" t="n">
        <f aca="false">J245+S245+T245+U245+V245</f>
        <v>1000.51909258279</v>
      </c>
      <c r="X245" s="9" t="n">
        <f aca="false">W245/J245-1</f>
        <v>0.000519092582785818</v>
      </c>
      <c r="Y245" s="6" t="n">
        <f aca="false">INDEX(DRIVERS!$B$32:$B$42,MATCH(B245,DRIVERS!$A$32:$A$42,0))</f>
        <v>0.3</v>
      </c>
      <c r="Z245" s="5" t="n">
        <f aca="false">W245*(1+Y245)</f>
        <v>1300.67482035762</v>
      </c>
      <c r="AA245" s="5" t="n">
        <f aca="false">W245*(1+Y245+DRIVERS!$B$26)*(1+DRIVERS!$B$27)</f>
        <v>1512.78486798517</v>
      </c>
      <c r="AB245" s="2" t="s">
        <v>205</v>
      </c>
      <c r="AC245" s="8"/>
    </row>
    <row r="246" customFormat="false" ht="15" hidden="false" customHeight="false" outlineLevel="0" collapsed="false">
      <c r="A246" s="2" t="s">
        <v>944</v>
      </c>
      <c r="B246" s="2" t="s">
        <v>891</v>
      </c>
      <c r="C246" s="2" t="s">
        <v>90</v>
      </c>
      <c r="D246" s="2" t="s">
        <v>945</v>
      </c>
      <c r="E246" s="2" t="s">
        <v>946</v>
      </c>
      <c r="F246" s="2" t="s">
        <v>186</v>
      </c>
      <c r="G246" s="2" t="s">
        <v>186</v>
      </c>
      <c r="H246" s="5" t="n">
        <v>1200</v>
      </c>
      <c r="I246" s="6" t="n">
        <f aca="false">INDEX(SUPPLIERS!$D$3:$D$30,MATCH(C246,SUPPLIERS!$A$3:$A$30,0))</f>
        <v>0</v>
      </c>
      <c r="J246" s="5" t="n">
        <f aca="false">H246*(1-I246)</f>
        <v>1200</v>
      </c>
      <c r="M246" s="5" t="str">
        <f aca="false">IF(K246="","",J246/K246)</f>
        <v/>
      </c>
      <c r="N246" s="2" t="n">
        <v>0.45</v>
      </c>
      <c r="O246" s="13" t="n">
        <v>0.00032</v>
      </c>
      <c r="P246" s="2" t="s">
        <v>310</v>
      </c>
      <c r="Q246" s="14" t="n">
        <f aca="false">MAX(N246/DRIVERS!$B$5,O246/DRIVERS!$B$6)</f>
        <v>0.00015</v>
      </c>
      <c r="R246" s="15" t="n">
        <f aca="false">ROUNDDOWN(1/Q246,0)</f>
        <v>6666</v>
      </c>
      <c r="S246" s="5" t="n">
        <f aca="false">DRIVERS!$B$23*Q246/DRIVERS!$B$24</f>
        <v>0.778638874178877</v>
      </c>
      <c r="T246" s="5" t="n">
        <f aca="false">J246*INDEX(DRIVERS!$C$32:$C$42,MATCH(B246,DRIVERS!$A$32:$A$42,0))</f>
        <v>0</v>
      </c>
      <c r="U246" s="5" t="n">
        <f aca="false">J246*INDEX(SUPPLIERS!$E$3:$E$30,MATCH(C246,SUPPLIERS!$A$3:$A$30,0))</f>
        <v>0</v>
      </c>
      <c r="V246" s="5" t="n">
        <v>0</v>
      </c>
      <c r="W246" s="5" t="n">
        <f aca="false">J246+S246+T246+U246+V246</f>
        <v>1200.77863887418</v>
      </c>
      <c r="X246" s="9" t="n">
        <f aca="false">W246/J246-1</f>
        <v>0.00064886572848244</v>
      </c>
      <c r="Y246" s="6" t="n">
        <f aca="false">INDEX(DRIVERS!$B$32:$B$42,MATCH(B246,DRIVERS!$A$32:$A$42,0))</f>
        <v>0.3</v>
      </c>
      <c r="Z246" s="5" t="n">
        <f aca="false">W246*(1+Y246)</f>
        <v>1561.01223053643</v>
      </c>
      <c r="AA246" s="5" t="n">
        <f aca="false">W246*(1+Y246+DRIVERS!$B$26)*(1+DRIVERS!$B$27)</f>
        <v>1815.57730197776</v>
      </c>
      <c r="AB246" s="2" t="s">
        <v>205</v>
      </c>
      <c r="AC246" s="8"/>
    </row>
    <row r="247" customFormat="false" ht="15" hidden="false" customHeight="false" outlineLevel="0" collapsed="false">
      <c r="A247" s="2" t="s">
        <v>947</v>
      </c>
      <c r="B247" s="2" t="s">
        <v>891</v>
      </c>
      <c r="C247" s="2" t="s">
        <v>90</v>
      </c>
      <c r="D247" s="2" t="s">
        <v>948</v>
      </c>
      <c r="E247" s="2" t="s">
        <v>949</v>
      </c>
      <c r="F247" s="2" t="s">
        <v>186</v>
      </c>
      <c r="G247" s="2" t="s">
        <v>186</v>
      </c>
      <c r="H247" s="5" t="n">
        <v>2800</v>
      </c>
      <c r="I247" s="6" t="n">
        <f aca="false">INDEX(SUPPLIERS!$D$3:$D$30,MATCH(C247,SUPPLIERS!$A$3:$A$30,0))</f>
        <v>0</v>
      </c>
      <c r="J247" s="5" t="n">
        <f aca="false">H247*(1-I247)</f>
        <v>2800</v>
      </c>
      <c r="M247" s="5" t="str">
        <f aca="false">IF(K247="","",J247/K247)</f>
        <v/>
      </c>
      <c r="N247" s="2" t="n">
        <v>0.35</v>
      </c>
      <c r="O247" s="13" t="n">
        <v>0.00071</v>
      </c>
      <c r="P247" s="2" t="s">
        <v>310</v>
      </c>
      <c r="Q247" s="14" t="n">
        <f aca="false">MAX(N247/DRIVERS!$B$5,O247/DRIVERS!$B$6)</f>
        <v>0.000116666666666667</v>
      </c>
      <c r="R247" s="15" t="n">
        <f aca="false">ROUNDDOWN(1/Q247,0)</f>
        <v>8571</v>
      </c>
      <c r="S247" s="5" t="n">
        <f aca="false">DRIVERS!$B$23*Q247/DRIVERS!$B$24</f>
        <v>0.605608013250238</v>
      </c>
      <c r="T247" s="5" t="n">
        <f aca="false">J247*INDEX(DRIVERS!$C$32:$C$42,MATCH(B247,DRIVERS!$A$32:$A$42,0))</f>
        <v>0</v>
      </c>
      <c r="U247" s="5" t="n">
        <f aca="false">J247*INDEX(SUPPLIERS!$E$3:$E$30,MATCH(C247,SUPPLIERS!$A$3:$A$30,0))</f>
        <v>0</v>
      </c>
      <c r="V247" s="5" t="n">
        <v>0</v>
      </c>
      <c r="W247" s="5" t="n">
        <f aca="false">J247+S247+T247+U247+V247</f>
        <v>2800.60560801325</v>
      </c>
      <c r="X247" s="9" t="n">
        <f aca="false">W247/J247-1</f>
        <v>0.000216288576160739</v>
      </c>
      <c r="Y247" s="6" t="n">
        <f aca="false">INDEX(DRIVERS!$B$32:$B$42,MATCH(B247,DRIVERS!$A$32:$A$42,0))</f>
        <v>0.3</v>
      </c>
      <c r="Z247" s="5" t="n">
        <f aca="false">W247*(1+Y247)</f>
        <v>3640.78729041723</v>
      </c>
      <c r="AA247" s="5" t="n">
        <f aca="false">W247*(1+Y247+DRIVERS!$B$26)*(1+DRIVERS!$B$27)</f>
        <v>4234.51567931604</v>
      </c>
      <c r="AB247" s="2" t="s">
        <v>205</v>
      </c>
      <c r="AC247" s="8"/>
    </row>
    <row r="248" customFormat="false" ht="15" hidden="false" customHeight="false" outlineLevel="0" collapsed="false">
      <c r="A248" s="2" t="s">
        <v>950</v>
      </c>
      <c r="B248" s="2" t="s">
        <v>891</v>
      </c>
      <c r="C248" s="2" t="s">
        <v>90</v>
      </c>
      <c r="D248" s="2" t="s">
        <v>951</v>
      </c>
      <c r="E248" s="2" t="s">
        <v>949</v>
      </c>
      <c r="F248" s="2" t="s">
        <v>186</v>
      </c>
      <c r="G248" s="2" t="s">
        <v>186</v>
      </c>
      <c r="H248" s="5" t="n">
        <v>3200</v>
      </c>
      <c r="I248" s="6" t="n">
        <f aca="false">INDEX(SUPPLIERS!$D$3:$D$30,MATCH(C248,SUPPLIERS!$A$3:$A$30,0))</f>
        <v>0</v>
      </c>
      <c r="J248" s="5" t="n">
        <f aca="false">H248*(1-I248)</f>
        <v>3200</v>
      </c>
      <c r="M248" s="5" t="str">
        <f aca="false">IF(K248="","",J248/K248)</f>
        <v/>
      </c>
      <c r="N248" s="2" t="n">
        <v>1.85</v>
      </c>
      <c r="O248" s="13" t="n">
        <v>0.00504</v>
      </c>
      <c r="P248" s="2" t="s">
        <v>310</v>
      </c>
      <c r="Q248" s="14" t="n">
        <f aca="false">MAX(N248/DRIVERS!$B$5,O248/DRIVERS!$B$6)</f>
        <v>0.000616666666666667</v>
      </c>
      <c r="R248" s="15" t="n">
        <f aca="false">ROUNDDOWN(1/Q248,0)</f>
        <v>1621</v>
      </c>
      <c r="S248" s="5" t="n">
        <f aca="false">DRIVERS!$B$23*Q248/DRIVERS!$B$24</f>
        <v>3.20107092717983</v>
      </c>
      <c r="T248" s="5" t="n">
        <f aca="false">J248*INDEX(DRIVERS!$C$32:$C$42,MATCH(B248,DRIVERS!$A$32:$A$42,0))</f>
        <v>0</v>
      </c>
      <c r="U248" s="5" t="n">
        <f aca="false">J248*INDEX(SUPPLIERS!$E$3:$E$30,MATCH(C248,SUPPLIERS!$A$3:$A$30,0))</f>
        <v>0</v>
      </c>
      <c r="V248" s="5" t="n">
        <v>0</v>
      </c>
      <c r="W248" s="5" t="n">
        <f aca="false">J248+S248+T248+U248+V248</f>
        <v>3203.20107092718</v>
      </c>
      <c r="X248" s="9" t="n">
        <f aca="false">W248/J248-1</f>
        <v>0.00100033466474381</v>
      </c>
      <c r="Y248" s="6" t="n">
        <f aca="false">INDEX(DRIVERS!$B$32:$B$42,MATCH(B248,DRIVERS!$A$32:$A$42,0))</f>
        <v>0.3</v>
      </c>
      <c r="Z248" s="5" t="n">
        <f aca="false">W248*(1+Y248)</f>
        <v>4164.16139220533</v>
      </c>
      <c r="AA248" s="5" t="n">
        <f aca="false">W248*(1+Y248+DRIVERS!$B$26)*(1+DRIVERS!$B$27)</f>
        <v>4843.2400192419</v>
      </c>
      <c r="AB248" s="2" t="s">
        <v>205</v>
      </c>
      <c r="AC248" s="8"/>
    </row>
    <row r="249" customFormat="false" ht="15" hidden="false" customHeight="false" outlineLevel="0" collapsed="false">
      <c r="A249" s="2" t="s">
        <v>952</v>
      </c>
      <c r="B249" s="2" t="s">
        <v>891</v>
      </c>
      <c r="C249" s="2" t="s">
        <v>90</v>
      </c>
      <c r="D249" s="2" t="s">
        <v>953</v>
      </c>
      <c r="E249" s="2" t="s">
        <v>949</v>
      </c>
      <c r="F249" s="2" t="s">
        <v>186</v>
      </c>
      <c r="G249" s="2" t="s">
        <v>186</v>
      </c>
      <c r="H249" s="5" t="n">
        <v>8900</v>
      </c>
      <c r="I249" s="6" t="n">
        <f aca="false">INDEX(SUPPLIERS!$D$3:$D$30,MATCH(C249,SUPPLIERS!$A$3:$A$30,0))</f>
        <v>0</v>
      </c>
      <c r="J249" s="5" t="n">
        <f aca="false">H249*(1-I249)</f>
        <v>8900</v>
      </c>
      <c r="M249" s="5" t="str">
        <f aca="false">IF(K249="","",J249/K249)</f>
        <v/>
      </c>
      <c r="N249" s="2" t="n">
        <v>5</v>
      </c>
      <c r="O249" s="13" t="n">
        <v>0.00365</v>
      </c>
      <c r="P249" s="2" t="s">
        <v>310</v>
      </c>
      <c r="Q249" s="14" t="n">
        <f aca="false">MAX(N249/DRIVERS!$B$5,O249/DRIVERS!$B$6)</f>
        <v>0.00166666666666667</v>
      </c>
      <c r="R249" s="15" t="n">
        <f aca="false">ROUNDDOWN(1/Q249,0)</f>
        <v>600</v>
      </c>
      <c r="S249" s="5" t="n">
        <f aca="false">DRIVERS!$B$23*Q249/DRIVERS!$B$24</f>
        <v>8.65154304643196</v>
      </c>
      <c r="T249" s="5" t="n">
        <f aca="false">J249*INDEX(DRIVERS!$C$32:$C$42,MATCH(B249,DRIVERS!$A$32:$A$42,0))</f>
        <v>0</v>
      </c>
      <c r="U249" s="5" t="n">
        <f aca="false">J249*INDEX(SUPPLIERS!$E$3:$E$30,MATCH(C249,SUPPLIERS!$A$3:$A$30,0))</f>
        <v>0</v>
      </c>
      <c r="V249" s="5" t="n">
        <v>0</v>
      </c>
      <c r="W249" s="5" t="n">
        <f aca="false">J249+S249+T249+U249+V249</f>
        <v>8908.65154304643</v>
      </c>
      <c r="X249" s="9" t="n">
        <f aca="false">W249/J249-1</f>
        <v>0.000972083488363085</v>
      </c>
      <c r="Y249" s="6" t="n">
        <f aca="false">INDEX(DRIVERS!$B$32:$B$42,MATCH(B249,DRIVERS!$A$32:$A$42,0))</f>
        <v>0.3</v>
      </c>
      <c r="Z249" s="5" t="n">
        <f aca="false">W249*(1+Y249)</f>
        <v>11581.2470059604</v>
      </c>
      <c r="AA249" s="5" t="n">
        <f aca="false">W249*(1+Y249+DRIVERS!$B$26)*(1+DRIVERS!$B$27)</f>
        <v>13469.8811330862</v>
      </c>
      <c r="AB249" s="2" t="s">
        <v>205</v>
      </c>
      <c r="AC249" s="8"/>
    </row>
    <row r="250" customFormat="false" ht="15" hidden="false" customHeight="false" outlineLevel="0" collapsed="false">
      <c r="A250" s="2" t="s">
        <v>954</v>
      </c>
      <c r="B250" s="2" t="s">
        <v>891</v>
      </c>
      <c r="C250" s="2" t="s">
        <v>90</v>
      </c>
      <c r="D250" s="2" t="s">
        <v>955</v>
      </c>
      <c r="E250" s="2" t="s">
        <v>949</v>
      </c>
      <c r="F250" s="2" t="s">
        <v>186</v>
      </c>
      <c r="G250" s="2" t="s">
        <v>186</v>
      </c>
      <c r="H250" s="5" t="n">
        <v>15800</v>
      </c>
      <c r="I250" s="6" t="n">
        <f aca="false">INDEX(SUPPLIERS!$D$3:$D$30,MATCH(C250,SUPPLIERS!$A$3:$A$30,0))</f>
        <v>0</v>
      </c>
      <c r="J250" s="5" t="n">
        <f aca="false">H250*(1-I250)</f>
        <v>15800</v>
      </c>
      <c r="M250" s="5" t="str">
        <f aca="false">IF(K250="","",J250/K250)</f>
        <v/>
      </c>
      <c r="N250" s="2" t="n">
        <v>4.1</v>
      </c>
      <c r="O250" s="13" t="n">
        <v>0.01498</v>
      </c>
      <c r="P250" s="2" t="s">
        <v>310</v>
      </c>
      <c r="Q250" s="14" t="n">
        <f aca="false">MAX(N250/DRIVERS!$B$5,O250/DRIVERS!$B$6)</f>
        <v>0.00136666666666667</v>
      </c>
      <c r="R250" s="15" t="n">
        <f aca="false">ROUNDDOWN(1/Q250,0)</f>
        <v>731</v>
      </c>
      <c r="S250" s="5" t="n">
        <f aca="false">DRIVERS!$B$23*Q250/DRIVERS!$B$24</f>
        <v>7.09426529807421</v>
      </c>
      <c r="T250" s="5" t="n">
        <f aca="false">J250*INDEX(DRIVERS!$C$32:$C$42,MATCH(B250,DRIVERS!$A$32:$A$42,0))</f>
        <v>0</v>
      </c>
      <c r="U250" s="5" t="n">
        <f aca="false">J250*INDEX(SUPPLIERS!$E$3:$E$30,MATCH(C250,SUPPLIERS!$A$3:$A$30,0))</f>
        <v>0</v>
      </c>
      <c r="V250" s="5" t="n">
        <v>0</v>
      </c>
      <c r="W250" s="5" t="n">
        <f aca="false">J250+S250+T250+U250+V250</f>
        <v>15807.0942652981</v>
      </c>
      <c r="X250" s="9" t="n">
        <f aca="false">W250/J250-1</f>
        <v>0.000449004132789588</v>
      </c>
      <c r="Y250" s="6" t="n">
        <f aca="false">INDEX(DRIVERS!$B$32:$B$42,MATCH(B250,DRIVERS!$A$32:$A$42,0))</f>
        <v>0.3</v>
      </c>
      <c r="Z250" s="5" t="n">
        <f aca="false">W250*(1+Y250)</f>
        <v>20549.2225448875</v>
      </c>
      <c r="AA250" s="5" t="n">
        <f aca="false">W250*(1+Y250+DRIVERS!$B$26)*(1+DRIVERS!$B$27)</f>
        <v>23900.3265291307</v>
      </c>
      <c r="AB250" s="2" t="s">
        <v>205</v>
      </c>
      <c r="AC250" s="8"/>
    </row>
    <row r="251" customFormat="false" ht="15" hidden="false" customHeight="false" outlineLevel="0" collapsed="false">
      <c r="A251" s="2" t="s">
        <v>956</v>
      </c>
      <c r="B251" s="2" t="s">
        <v>891</v>
      </c>
      <c r="C251" s="2" t="s">
        <v>90</v>
      </c>
      <c r="D251" s="2" t="s">
        <v>957</v>
      </c>
      <c r="E251" s="2" t="s">
        <v>949</v>
      </c>
      <c r="F251" s="2" t="s">
        <v>186</v>
      </c>
      <c r="G251" s="2" t="s">
        <v>186</v>
      </c>
      <c r="H251" s="5" t="n">
        <v>17400</v>
      </c>
      <c r="I251" s="6" t="n">
        <f aca="false">INDEX(SUPPLIERS!$D$3:$D$30,MATCH(C251,SUPPLIERS!$A$3:$A$30,0))</f>
        <v>0</v>
      </c>
      <c r="J251" s="5" t="n">
        <f aca="false">H251*(1-I251)</f>
        <v>17400</v>
      </c>
      <c r="M251" s="5" t="str">
        <f aca="false">IF(K251="","",J251/K251)</f>
        <v/>
      </c>
      <c r="N251" s="2" t="n">
        <v>4</v>
      </c>
      <c r="O251" s="13" t="n">
        <v>0.01082</v>
      </c>
      <c r="P251" s="2" t="s">
        <v>908</v>
      </c>
      <c r="Q251" s="14" t="n">
        <f aca="false">MAX(N251/DRIVERS!$B$5,O251/DRIVERS!$B$6)</f>
        <v>0.00133333333333333</v>
      </c>
      <c r="R251" s="15" t="n">
        <f aca="false">ROUNDDOWN(1/Q251,0)</f>
        <v>750</v>
      </c>
      <c r="S251" s="5" t="n">
        <f aca="false">DRIVERS!$B$23*Q251/DRIVERS!$B$24</f>
        <v>6.92123443714557</v>
      </c>
      <c r="T251" s="5" t="n">
        <f aca="false">J251*INDEX(DRIVERS!$C$32:$C$42,MATCH(B251,DRIVERS!$A$32:$A$42,0))</f>
        <v>0</v>
      </c>
      <c r="U251" s="5" t="n">
        <f aca="false">J251*INDEX(SUPPLIERS!$E$3:$E$30,MATCH(C251,SUPPLIERS!$A$3:$A$30,0))</f>
        <v>0</v>
      </c>
      <c r="V251" s="5" t="n">
        <v>0</v>
      </c>
      <c r="W251" s="5" t="n">
        <f aca="false">J251+S251+T251+U251+V251</f>
        <v>17406.9212344371</v>
      </c>
      <c r="X251" s="9" t="n">
        <f aca="false">W251/J251-1</f>
        <v>0.000397772094088866</v>
      </c>
      <c r="Y251" s="6" t="n">
        <f aca="false">INDEX(DRIVERS!$B$32:$B$42,MATCH(B251,DRIVERS!$A$32:$A$42,0))</f>
        <v>0.3</v>
      </c>
      <c r="Z251" s="5" t="n">
        <f aca="false">W251*(1+Y251)</f>
        <v>22628.9976047683</v>
      </c>
      <c r="AA251" s="5" t="n">
        <f aca="false">W251*(1+Y251+DRIVERS!$B$26)*(1+DRIVERS!$B$27)</f>
        <v>26319.264906469</v>
      </c>
      <c r="AB251" s="2" t="s">
        <v>205</v>
      </c>
      <c r="AC251" s="8"/>
    </row>
    <row r="252" customFormat="false" ht="15" hidden="false" customHeight="false" outlineLevel="0" collapsed="false">
      <c r="A252" s="2" t="s">
        <v>958</v>
      </c>
      <c r="B252" s="2" t="s">
        <v>891</v>
      </c>
      <c r="C252" s="2" t="s">
        <v>90</v>
      </c>
      <c r="D252" s="2" t="s">
        <v>959</v>
      </c>
      <c r="E252" s="2" t="s">
        <v>949</v>
      </c>
      <c r="F252" s="2" t="s">
        <v>186</v>
      </c>
      <c r="G252" s="2" t="s">
        <v>186</v>
      </c>
      <c r="H252" s="5" t="n">
        <v>26500</v>
      </c>
      <c r="I252" s="6" t="n">
        <f aca="false">INDEX(SUPPLIERS!$D$3:$D$30,MATCH(C252,SUPPLIERS!$A$3:$A$30,0))</f>
        <v>0</v>
      </c>
      <c r="J252" s="5" t="n">
        <f aca="false">H252*(1-I252)</f>
        <v>26500</v>
      </c>
      <c r="M252" s="5" t="str">
        <f aca="false">IF(K252="","",J252/K252)</f>
        <v/>
      </c>
      <c r="N252" s="2" t="n">
        <v>5.5</v>
      </c>
      <c r="O252" s="13" t="n">
        <v>0.0506</v>
      </c>
      <c r="P252" s="2" t="s">
        <v>310</v>
      </c>
      <c r="Q252" s="14" t="n">
        <f aca="false">MAX(N252/DRIVERS!$B$5,O252/DRIVERS!$B$6)</f>
        <v>0.00354487122413792</v>
      </c>
      <c r="R252" s="15" t="n">
        <f aca="false">ROUNDDOWN(1/Q252,0)</f>
        <v>282</v>
      </c>
      <c r="S252" s="5" t="n">
        <f aca="false">DRIVERS!$B$23*Q252/DRIVERS!$B$24</f>
        <v>18.4011635938123</v>
      </c>
      <c r="T252" s="5" t="n">
        <f aca="false">J252*INDEX(DRIVERS!$C$32:$C$42,MATCH(B252,DRIVERS!$A$32:$A$42,0))</f>
        <v>0</v>
      </c>
      <c r="U252" s="5" t="n">
        <f aca="false">J252*INDEX(SUPPLIERS!$E$3:$E$30,MATCH(C252,SUPPLIERS!$A$3:$A$30,0))</f>
        <v>0</v>
      </c>
      <c r="V252" s="5" t="n">
        <v>0</v>
      </c>
      <c r="W252" s="5" t="n">
        <f aca="false">J252+S252+T252+U252+V252</f>
        <v>26518.4011635938</v>
      </c>
      <c r="X252" s="9" t="n">
        <f aca="false">W252/J252-1</f>
        <v>0.000694383531842036</v>
      </c>
      <c r="Y252" s="6" t="n">
        <f aca="false">INDEX(DRIVERS!$B$32:$B$42,MATCH(B252,DRIVERS!$A$32:$A$42,0))</f>
        <v>0.3</v>
      </c>
      <c r="Z252" s="5" t="n">
        <f aca="false">W252*(1+Y252)</f>
        <v>34473.921512672</v>
      </c>
      <c r="AA252" s="5" t="n">
        <f aca="false">W252*(1+Y252+DRIVERS!$B$26)*(1+DRIVERS!$B$27)</f>
        <v>40095.8225593539</v>
      </c>
      <c r="AB252" s="2" t="s">
        <v>205</v>
      </c>
      <c r="AC252" s="8"/>
    </row>
    <row r="253" customFormat="false" ht="15" hidden="false" customHeight="false" outlineLevel="0" collapsed="false">
      <c r="A253" s="2" t="s">
        <v>960</v>
      </c>
      <c r="B253" s="2" t="s">
        <v>891</v>
      </c>
      <c r="C253" s="2" t="s">
        <v>90</v>
      </c>
      <c r="D253" s="2" t="s">
        <v>961</v>
      </c>
      <c r="E253" s="2" t="s">
        <v>949</v>
      </c>
      <c r="F253" s="2" t="s">
        <v>186</v>
      </c>
      <c r="G253" s="2" t="s">
        <v>186</v>
      </c>
      <c r="H253" s="5" t="n">
        <v>31200</v>
      </c>
      <c r="I253" s="6" t="n">
        <f aca="false">INDEX(SUPPLIERS!$D$3:$D$30,MATCH(C253,SUPPLIERS!$A$3:$A$30,0))</f>
        <v>0</v>
      </c>
      <c r="J253" s="5" t="n">
        <f aca="false">H253*(1-I253)</f>
        <v>31200</v>
      </c>
      <c r="M253" s="5" t="str">
        <f aca="false">IF(K253="","",J253/K253)</f>
        <v/>
      </c>
      <c r="N253" s="2" t="n">
        <v>5.6</v>
      </c>
      <c r="O253" s="13" t="n">
        <v>0.02496</v>
      </c>
      <c r="P253" s="2" t="s">
        <v>310</v>
      </c>
      <c r="Q253" s="14" t="n">
        <f aca="false">MAX(N253/DRIVERS!$B$5,O253/DRIVERS!$B$6)</f>
        <v>0.00186666666666667</v>
      </c>
      <c r="R253" s="15" t="n">
        <f aca="false">ROUNDDOWN(1/Q253,0)</f>
        <v>535</v>
      </c>
      <c r="S253" s="5" t="n">
        <f aca="false">DRIVERS!$B$23*Q253/DRIVERS!$B$24</f>
        <v>9.6897282120038</v>
      </c>
      <c r="T253" s="5" t="n">
        <f aca="false">J253*INDEX(DRIVERS!$C$32:$C$42,MATCH(B253,DRIVERS!$A$32:$A$42,0))</f>
        <v>0</v>
      </c>
      <c r="U253" s="5" t="n">
        <f aca="false">J253*INDEX(SUPPLIERS!$E$3:$E$30,MATCH(C253,SUPPLIERS!$A$3:$A$30,0))</f>
        <v>0</v>
      </c>
      <c r="V253" s="5" t="n">
        <v>0</v>
      </c>
      <c r="W253" s="5" t="n">
        <f aca="false">J253+S253+T253+U253+V253</f>
        <v>31209.689728212</v>
      </c>
      <c r="X253" s="9" t="n">
        <f aca="false">W253/J253-1</f>
        <v>0.000310568211923323</v>
      </c>
      <c r="Y253" s="6" t="n">
        <f aca="false">INDEX(DRIVERS!$B$32:$B$42,MATCH(B253,DRIVERS!$A$32:$A$42,0))</f>
        <v>0.3</v>
      </c>
      <c r="Z253" s="5" t="n">
        <f aca="false">W253*(1+Y253)</f>
        <v>40572.5966466756</v>
      </c>
      <c r="AA253" s="5" t="n">
        <f aca="false">W253*(1+Y253+DRIVERS!$B$26)*(1+DRIVERS!$B$27)</f>
        <v>47189.0508690566</v>
      </c>
      <c r="AB253" s="2" t="s">
        <v>205</v>
      </c>
      <c r="AC253" s="8"/>
    </row>
    <row r="254" customFormat="false" ht="15" hidden="false" customHeight="false" outlineLevel="0" collapsed="false">
      <c r="A254" s="2" t="s">
        <v>72</v>
      </c>
      <c r="B254" s="2" t="s">
        <v>891</v>
      </c>
      <c r="C254" s="2" t="s">
        <v>90</v>
      </c>
      <c r="D254" s="2" t="s">
        <v>962</v>
      </c>
      <c r="E254" s="2" t="s">
        <v>963</v>
      </c>
      <c r="F254" s="2" t="s">
        <v>186</v>
      </c>
      <c r="G254" s="2" t="s">
        <v>186</v>
      </c>
      <c r="H254" s="5" t="n">
        <v>250</v>
      </c>
      <c r="I254" s="6" t="n">
        <f aca="false">INDEX(SUPPLIERS!$D$3:$D$30,MATCH(C254,SUPPLIERS!$A$3:$A$30,0))</f>
        <v>0</v>
      </c>
      <c r="J254" s="5" t="n">
        <f aca="false">H254*(1-I254)</f>
        <v>250</v>
      </c>
      <c r="M254" s="5" t="str">
        <f aca="false">IF(K254="","",J254/K254)</f>
        <v/>
      </c>
      <c r="N254" s="2" t="n">
        <v>0.28</v>
      </c>
      <c r="O254" s="13" t="n">
        <v>0.00026</v>
      </c>
      <c r="P254" s="2" t="s">
        <v>310</v>
      </c>
      <c r="Q254" s="14" t="n">
        <f aca="false">MAX(N254/DRIVERS!$B$5,O254/DRIVERS!$B$6)</f>
        <v>9.33333333333333E-005</v>
      </c>
      <c r="R254" s="15" t="n">
        <f aca="false">ROUNDDOWN(1/Q254,0)</f>
        <v>10714</v>
      </c>
      <c r="S254" s="5" t="n">
        <f aca="false">DRIVERS!$B$23*Q254/DRIVERS!$B$24</f>
        <v>0.48448641060019</v>
      </c>
      <c r="T254" s="5" t="n">
        <f aca="false">J254*INDEX(DRIVERS!$C$32:$C$42,MATCH(B254,DRIVERS!$A$32:$A$42,0))</f>
        <v>0</v>
      </c>
      <c r="U254" s="5" t="n">
        <f aca="false">J254*INDEX(SUPPLIERS!$E$3:$E$30,MATCH(C254,SUPPLIERS!$A$3:$A$30,0))</f>
        <v>0</v>
      </c>
      <c r="V254" s="5" t="n">
        <v>0</v>
      </c>
      <c r="W254" s="5" t="n">
        <f aca="false">J254+S254+T254+U254+V254</f>
        <v>250.4844864106</v>
      </c>
      <c r="X254" s="9" t="n">
        <f aca="false">W254/J254-1</f>
        <v>0.00193794564240068</v>
      </c>
      <c r="Y254" s="6" t="n">
        <f aca="false">INDEX(DRIVERS!$B$32:$B$42,MATCH(B254,DRIVERS!$A$32:$A$42,0))</f>
        <v>0.3</v>
      </c>
      <c r="Z254" s="5" t="n">
        <f aca="false">W254*(1+Y254)</f>
        <v>325.62983233378</v>
      </c>
      <c r="AA254" s="5" t="n">
        <f aca="false">W254*(1+Y254+DRIVERS!$B$26)*(1+DRIVERS!$B$27)</f>
        <v>378.732543452828</v>
      </c>
      <c r="AB254" s="2" t="s">
        <v>205</v>
      </c>
      <c r="AC254" s="8"/>
    </row>
    <row r="255" customFormat="false" ht="15" hidden="false" customHeight="false" outlineLevel="0" collapsed="false">
      <c r="A255" s="2" t="s">
        <v>964</v>
      </c>
      <c r="B255" s="2" t="s">
        <v>891</v>
      </c>
      <c r="C255" s="2" t="s">
        <v>90</v>
      </c>
      <c r="D255" s="2" t="s">
        <v>965</v>
      </c>
      <c r="E255" s="2" t="s">
        <v>966</v>
      </c>
      <c r="F255" s="2" t="s">
        <v>186</v>
      </c>
      <c r="G255" s="2" t="s">
        <v>186</v>
      </c>
      <c r="H255" s="5" t="n">
        <v>300</v>
      </c>
      <c r="I255" s="6" t="n">
        <f aca="false">INDEX(SUPPLIERS!$D$3:$D$30,MATCH(C255,SUPPLIERS!$A$3:$A$30,0))</f>
        <v>0</v>
      </c>
      <c r="J255" s="5" t="n">
        <f aca="false">H255*(1-I255)</f>
        <v>300</v>
      </c>
      <c r="M255" s="5" t="str">
        <f aca="false">IF(K255="","",J255/K255)</f>
        <v/>
      </c>
      <c r="N255" s="2" t="n">
        <v>0.25</v>
      </c>
      <c r="O255" s="13" t="n">
        <v>0.00027</v>
      </c>
      <c r="P255" s="2" t="s">
        <v>310</v>
      </c>
      <c r="Q255" s="14" t="n">
        <f aca="false">MAX(N255/DRIVERS!$B$5,O255/DRIVERS!$B$6)</f>
        <v>8.33333333333333E-005</v>
      </c>
      <c r="R255" s="15" t="n">
        <f aca="false">ROUNDDOWN(1/Q255,0)</f>
        <v>12000</v>
      </c>
      <c r="S255" s="5" t="n">
        <f aca="false">DRIVERS!$B$23*Q255/DRIVERS!$B$24</f>
        <v>0.432577152321598</v>
      </c>
      <c r="T255" s="5" t="n">
        <f aca="false">J255*INDEX(DRIVERS!$C$32:$C$42,MATCH(B255,DRIVERS!$A$32:$A$42,0))</f>
        <v>0</v>
      </c>
      <c r="U255" s="5" t="n">
        <f aca="false">J255*INDEX(SUPPLIERS!$E$3:$E$30,MATCH(C255,SUPPLIERS!$A$3:$A$30,0))</f>
        <v>0</v>
      </c>
      <c r="V255" s="5" t="n">
        <v>0</v>
      </c>
      <c r="W255" s="5" t="n">
        <f aca="false">J255+S255+T255+U255+V255</f>
        <v>300.432577152322</v>
      </c>
      <c r="X255" s="9" t="n">
        <f aca="false">W255/J255-1</f>
        <v>0.00144192384107189</v>
      </c>
      <c r="Y255" s="6" t="n">
        <f aca="false">INDEX(DRIVERS!$B$32:$B$42,MATCH(B255,DRIVERS!$A$32:$A$42,0))</f>
        <v>0.3</v>
      </c>
      <c r="Z255" s="5" t="n">
        <f aca="false">W255*(1+Y255)</f>
        <v>390.562350298018</v>
      </c>
      <c r="AA255" s="5" t="n">
        <f aca="false">W255*(1+Y255+DRIVERS!$B$26)*(1+DRIVERS!$B$27)</f>
        <v>454.25405665431</v>
      </c>
      <c r="AB255" s="2" t="s">
        <v>205</v>
      </c>
      <c r="AC255" s="8"/>
    </row>
    <row r="256" customFormat="false" ht="15" hidden="false" customHeight="false" outlineLevel="0" collapsed="false">
      <c r="A256" s="2" t="s">
        <v>967</v>
      </c>
      <c r="B256" s="2" t="s">
        <v>891</v>
      </c>
      <c r="C256" s="2" t="s">
        <v>90</v>
      </c>
      <c r="D256" s="2" t="s">
        <v>968</v>
      </c>
      <c r="E256" s="2" t="s">
        <v>969</v>
      </c>
      <c r="F256" s="2" t="s">
        <v>186</v>
      </c>
      <c r="G256" s="2" t="s">
        <v>186</v>
      </c>
      <c r="H256" s="5" t="n">
        <v>2500</v>
      </c>
      <c r="I256" s="6" t="n">
        <f aca="false">INDEX(SUPPLIERS!$D$3:$D$30,MATCH(C256,SUPPLIERS!$A$3:$A$30,0))</f>
        <v>0</v>
      </c>
      <c r="J256" s="5" t="n">
        <f aca="false">H256*(1-I256)</f>
        <v>2500</v>
      </c>
      <c r="M256" s="5" t="str">
        <f aca="false">IF(K256="","",J256/K256)</f>
        <v/>
      </c>
      <c r="N256" s="2" t="n">
        <v>0.45</v>
      </c>
      <c r="O256" s="13" t="n">
        <v>0.00048</v>
      </c>
      <c r="P256" s="2" t="s">
        <v>310</v>
      </c>
      <c r="Q256" s="14" t="n">
        <f aca="false">MAX(N256/DRIVERS!$B$5,O256/DRIVERS!$B$6)</f>
        <v>0.00015</v>
      </c>
      <c r="R256" s="15" t="n">
        <f aca="false">ROUNDDOWN(1/Q256,0)</f>
        <v>6666</v>
      </c>
      <c r="S256" s="5" t="n">
        <f aca="false">DRIVERS!$B$23*Q256/DRIVERS!$B$24</f>
        <v>0.778638874178877</v>
      </c>
      <c r="T256" s="5" t="n">
        <f aca="false">J256*INDEX(DRIVERS!$C$32:$C$42,MATCH(B256,DRIVERS!$A$32:$A$42,0))</f>
        <v>0</v>
      </c>
      <c r="U256" s="5" t="n">
        <f aca="false">J256*INDEX(SUPPLIERS!$E$3:$E$30,MATCH(C256,SUPPLIERS!$A$3:$A$30,0))</f>
        <v>0</v>
      </c>
      <c r="V256" s="5" t="n">
        <v>0</v>
      </c>
      <c r="W256" s="5" t="n">
        <f aca="false">J256+S256+T256+U256+V256</f>
        <v>2500.77863887418</v>
      </c>
      <c r="X256" s="9" t="n">
        <f aca="false">W256/J256-1</f>
        <v>0.000311455549671491</v>
      </c>
      <c r="Y256" s="6" t="n">
        <f aca="false">INDEX(DRIVERS!$B$32:$B$42,MATCH(B256,DRIVERS!$A$32:$A$42,0))</f>
        <v>0.3</v>
      </c>
      <c r="Z256" s="5" t="n">
        <f aca="false">W256*(1+Y256)</f>
        <v>3251.01223053643</v>
      </c>
      <c r="AA256" s="5" t="n">
        <f aca="false">W256*(1+Y256+DRIVERS!$B$26)*(1+DRIVERS!$B$27)</f>
        <v>3781.17730197776</v>
      </c>
      <c r="AB256" s="2" t="s">
        <v>205</v>
      </c>
      <c r="AC256" s="8"/>
    </row>
    <row r="257" customFormat="false" ht="15" hidden="false" customHeight="false" outlineLevel="0" collapsed="false">
      <c r="A257" s="2" t="s">
        <v>970</v>
      </c>
      <c r="B257" s="2" t="s">
        <v>891</v>
      </c>
      <c r="C257" s="2" t="s">
        <v>90</v>
      </c>
      <c r="D257" s="2" t="s">
        <v>971</v>
      </c>
      <c r="E257" s="2" t="s">
        <v>972</v>
      </c>
      <c r="F257" s="2" t="s">
        <v>186</v>
      </c>
      <c r="G257" s="2" t="s">
        <v>186</v>
      </c>
      <c r="H257" s="5" t="n">
        <v>1300</v>
      </c>
      <c r="I257" s="6" t="n">
        <f aca="false">INDEX(SUPPLIERS!$D$3:$D$30,MATCH(C257,SUPPLIERS!$A$3:$A$30,0))</f>
        <v>0</v>
      </c>
      <c r="J257" s="5" t="n">
        <f aca="false">H257*(1-I257)</f>
        <v>1300</v>
      </c>
      <c r="M257" s="5" t="str">
        <f aca="false">IF(K257="","",J257/K257)</f>
        <v/>
      </c>
      <c r="N257" s="2" t="n">
        <v>0.7</v>
      </c>
      <c r="O257" s="13" t="n">
        <v>0.00194</v>
      </c>
      <c r="P257" s="2" t="s">
        <v>310</v>
      </c>
      <c r="Q257" s="14" t="n">
        <f aca="false">MAX(N257/DRIVERS!$B$5,O257/DRIVERS!$B$6)</f>
        <v>0.000233333333333333</v>
      </c>
      <c r="R257" s="15" t="n">
        <f aca="false">ROUNDDOWN(1/Q257,0)</f>
        <v>4285</v>
      </c>
      <c r="S257" s="5" t="n">
        <f aca="false">DRIVERS!$B$23*Q257/DRIVERS!$B$24</f>
        <v>1.21121602650048</v>
      </c>
      <c r="T257" s="5" t="n">
        <f aca="false">J257*INDEX(DRIVERS!$C$32:$C$42,MATCH(B257,DRIVERS!$A$32:$A$42,0))</f>
        <v>0</v>
      </c>
      <c r="U257" s="5" t="n">
        <f aca="false">J257*INDEX(SUPPLIERS!$E$3:$E$30,MATCH(C257,SUPPLIERS!$A$3:$A$30,0))</f>
        <v>0</v>
      </c>
      <c r="V257" s="5" t="n">
        <v>0</v>
      </c>
      <c r="W257" s="5" t="n">
        <f aca="false">J257+S257+T257+U257+V257</f>
        <v>1301.2112160265</v>
      </c>
      <c r="X257" s="9" t="n">
        <f aca="false">W257/J257-1</f>
        <v>0.000931704635769748</v>
      </c>
      <c r="Y257" s="6" t="n">
        <f aca="false">INDEX(DRIVERS!$B$32:$B$42,MATCH(B257,DRIVERS!$A$32:$A$42,0))</f>
        <v>0.3</v>
      </c>
      <c r="Z257" s="5" t="n">
        <f aca="false">W257*(1+Y257)</f>
        <v>1691.57458083445</v>
      </c>
      <c r="AA257" s="5" t="n">
        <f aca="false">W257*(1+Y257+DRIVERS!$B$26)*(1+DRIVERS!$B$27)</f>
        <v>1967.43135863207</v>
      </c>
      <c r="AB257" s="2" t="s">
        <v>205</v>
      </c>
      <c r="AC257" s="8"/>
    </row>
    <row r="258" customFormat="false" ht="15" hidden="false" customHeight="false" outlineLevel="0" collapsed="false">
      <c r="A258" s="2" t="s">
        <v>973</v>
      </c>
      <c r="B258" s="2" t="s">
        <v>891</v>
      </c>
      <c r="C258" s="2" t="s">
        <v>90</v>
      </c>
      <c r="D258" s="2" t="s">
        <v>974</v>
      </c>
      <c r="E258" s="2" t="s">
        <v>975</v>
      </c>
      <c r="F258" s="2" t="s">
        <v>186</v>
      </c>
      <c r="G258" s="2" t="s">
        <v>186</v>
      </c>
      <c r="H258" s="5" t="n">
        <v>180</v>
      </c>
      <c r="I258" s="6" t="n">
        <f aca="false">INDEX(SUPPLIERS!$D$3:$D$30,MATCH(C258,SUPPLIERS!$A$3:$A$30,0))</f>
        <v>0</v>
      </c>
      <c r="J258" s="5" t="n">
        <f aca="false">H258*(1-I258)</f>
        <v>180</v>
      </c>
      <c r="M258" s="5" t="str">
        <f aca="false">IF(K258="","",J258/K258)</f>
        <v/>
      </c>
      <c r="N258" s="2" t="n">
        <v>0.12</v>
      </c>
      <c r="O258" s="13" t="n">
        <v>0.0002</v>
      </c>
      <c r="P258" s="2" t="s">
        <v>310</v>
      </c>
      <c r="Q258" s="14" t="n">
        <f aca="false">MAX(N258/DRIVERS!$B$5,O258/DRIVERS!$B$6)</f>
        <v>4E-005</v>
      </c>
      <c r="R258" s="15" t="n">
        <f aca="false">ROUNDDOWN(1/Q258,0)</f>
        <v>25000</v>
      </c>
      <c r="S258" s="5" t="n">
        <f aca="false">DRIVERS!$B$23*Q258/DRIVERS!$B$24</f>
        <v>0.207637033114367</v>
      </c>
      <c r="T258" s="5" t="n">
        <f aca="false">J258*INDEX(DRIVERS!$C$32:$C$42,MATCH(B258,DRIVERS!$A$32:$A$42,0))</f>
        <v>0</v>
      </c>
      <c r="U258" s="5" t="n">
        <f aca="false">J258*INDEX(SUPPLIERS!$E$3:$E$30,MATCH(C258,SUPPLIERS!$A$3:$A$30,0))</f>
        <v>0</v>
      </c>
      <c r="V258" s="5" t="n">
        <v>0</v>
      </c>
      <c r="W258" s="5" t="n">
        <f aca="false">J258+S258+T258+U258+V258</f>
        <v>180.207637033114</v>
      </c>
      <c r="X258" s="9" t="n">
        <f aca="false">W258/J258-1</f>
        <v>0.00115353907285765</v>
      </c>
      <c r="Y258" s="6" t="n">
        <f aca="false">INDEX(DRIVERS!$B$32:$B$42,MATCH(B258,DRIVERS!$A$32:$A$42,0))</f>
        <v>0.3</v>
      </c>
      <c r="Z258" s="5" t="n">
        <f aca="false">W258*(1+Y258)</f>
        <v>234.269928143049</v>
      </c>
      <c r="AA258" s="5" t="n">
        <f aca="false">W258*(1+Y258+DRIVERS!$B$26)*(1+DRIVERS!$B$27)</f>
        <v>272.473947194069</v>
      </c>
      <c r="AB258" s="2" t="s">
        <v>205</v>
      </c>
      <c r="AC258" s="8"/>
    </row>
    <row r="259" customFormat="false" ht="15" hidden="false" customHeight="false" outlineLevel="0" collapsed="false">
      <c r="A259" s="2" t="s">
        <v>976</v>
      </c>
      <c r="B259" s="2" t="s">
        <v>891</v>
      </c>
      <c r="C259" s="2" t="s">
        <v>90</v>
      </c>
      <c r="D259" s="2" t="s">
        <v>977</v>
      </c>
      <c r="E259" s="2" t="s">
        <v>978</v>
      </c>
      <c r="F259" s="2" t="s">
        <v>186</v>
      </c>
      <c r="G259" s="2" t="s">
        <v>186</v>
      </c>
      <c r="H259" s="5" t="n">
        <v>200</v>
      </c>
      <c r="I259" s="6" t="n">
        <f aca="false">INDEX(SUPPLIERS!$D$3:$D$30,MATCH(C259,SUPPLIERS!$A$3:$A$30,0))</f>
        <v>0</v>
      </c>
      <c r="J259" s="5" t="n">
        <f aca="false">H259*(1-I259)</f>
        <v>200</v>
      </c>
      <c r="M259" s="5" t="str">
        <f aca="false">IF(K259="","",J259/K259)</f>
        <v/>
      </c>
      <c r="N259" s="2" t="n">
        <v>0.15</v>
      </c>
      <c r="O259" s="13" t="n">
        <v>0.00018</v>
      </c>
      <c r="P259" s="2" t="s">
        <v>310</v>
      </c>
      <c r="Q259" s="14" t="n">
        <f aca="false">MAX(N259/DRIVERS!$B$5,O259/DRIVERS!$B$6)</f>
        <v>5E-005</v>
      </c>
      <c r="R259" s="15" t="n">
        <f aca="false">ROUNDDOWN(1/Q259,0)</f>
        <v>20000</v>
      </c>
      <c r="S259" s="5" t="n">
        <f aca="false">DRIVERS!$B$23*Q259/DRIVERS!$B$24</f>
        <v>0.259546291392959</v>
      </c>
      <c r="T259" s="5" t="n">
        <f aca="false">J259*INDEX(DRIVERS!$C$32:$C$42,MATCH(B259,DRIVERS!$A$32:$A$42,0))</f>
        <v>0</v>
      </c>
      <c r="U259" s="5" t="n">
        <f aca="false">J259*INDEX(SUPPLIERS!$E$3:$E$30,MATCH(C259,SUPPLIERS!$A$3:$A$30,0))</f>
        <v>0</v>
      </c>
      <c r="V259" s="5" t="n">
        <v>0</v>
      </c>
      <c r="W259" s="5" t="n">
        <f aca="false">J259+S259+T259+U259+V259</f>
        <v>200.259546291393</v>
      </c>
      <c r="X259" s="9" t="n">
        <f aca="false">W259/J259-1</f>
        <v>0.00129773145696466</v>
      </c>
      <c r="Y259" s="6" t="n">
        <f aca="false">INDEX(DRIVERS!$B$32:$B$42,MATCH(B259,DRIVERS!$A$32:$A$42,0))</f>
        <v>0.3</v>
      </c>
      <c r="Z259" s="5" t="n">
        <f aca="false">W259*(1+Y259)</f>
        <v>260.337410178811</v>
      </c>
      <c r="AA259" s="5" t="n">
        <f aca="false">W259*(1+Y259+DRIVERS!$B$26)*(1+DRIVERS!$B$27)</f>
        <v>302.792433992586</v>
      </c>
      <c r="AB259" s="2" t="s">
        <v>205</v>
      </c>
      <c r="AC259" s="8"/>
    </row>
    <row r="260" customFormat="false" ht="15" hidden="false" customHeight="false" outlineLevel="0" collapsed="false">
      <c r="A260" s="2" t="s">
        <v>979</v>
      </c>
      <c r="B260" s="2" t="s">
        <v>891</v>
      </c>
      <c r="C260" s="2" t="s">
        <v>90</v>
      </c>
      <c r="D260" s="2" t="s">
        <v>980</v>
      </c>
      <c r="E260" s="2" t="s">
        <v>981</v>
      </c>
      <c r="F260" s="2" t="s">
        <v>186</v>
      </c>
      <c r="G260" s="2" t="s">
        <v>186</v>
      </c>
      <c r="H260" s="5" t="n">
        <v>200</v>
      </c>
      <c r="I260" s="6" t="n">
        <f aca="false">INDEX(SUPPLIERS!$D$3:$D$30,MATCH(C260,SUPPLIERS!$A$3:$A$30,0))</f>
        <v>0</v>
      </c>
      <c r="J260" s="5" t="n">
        <f aca="false">H260*(1-I260)</f>
        <v>200</v>
      </c>
      <c r="M260" s="5" t="str">
        <f aca="false">IF(K260="","",J260/K260)</f>
        <v/>
      </c>
      <c r="N260" s="2" t="n">
        <v>0.14</v>
      </c>
      <c r="O260" s="13" t="n">
        <v>0.00018</v>
      </c>
      <c r="P260" s="2" t="s">
        <v>310</v>
      </c>
      <c r="Q260" s="14" t="n">
        <f aca="false">MAX(N260/DRIVERS!$B$5,O260/DRIVERS!$B$6)</f>
        <v>4.66666666666667E-005</v>
      </c>
      <c r="R260" s="15" t="n">
        <f aca="false">ROUNDDOWN(1/Q260,0)</f>
        <v>21428</v>
      </c>
      <c r="S260" s="5" t="n">
        <f aca="false">DRIVERS!$B$23*Q260/DRIVERS!$B$24</f>
        <v>0.242243205300095</v>
      </c>
      <c r="T260" s="5" t="n">
        <f aca="false">J260*INDEX(DRIVERS!$C$32:$C$42,MATCH(B260,DRIVERS!$A$32:$A$42,0))</f>
        <v>0</v>
      </c>
      <c r="U260" s="5" t="n">
        <f aca="false">J260*INDEX(SUPPLIERS!$E$3:$E$30,MATCH(C260,SUPPLIERS!$A$3:$A$30,0))</f>
        <v>0</v>
      </c>
      <c r="V260" s="5" t="n">
        <v>0</v>
      </c>
      <c r="W260" s="5" t="n">
        <f aca="false">J260+S260+T260+U260+V260</f>
        <v>200.2422432053</v>
      </c>
      <c r="X260" s="9" t="n">
        <f aca="false">W260/J260-1</f>
        <v>0.00121121602650054</v>
      </c>
      <c r="Y260" s="6" t="n">
        <f aca="false">INDEX(DRIVERS!$B$32:$B$42,MATCH(B260,DRIVERS!$A$32:$A$42,0))</f>
        <v>0.3</v>
      </c>
      <c r="Z260" s="5" t="n">
        <f aca="false">W260*(1+Y260)</f>
        <v>260.31491616689</v>
      </c>
      <c r="AA260" s="5" t="n">
        <f aca="false">W260*(1+Y260+DRIVERS!$B$26)*(1+DRIVERS!$B$27)</f>
        <v>302.766271726414</v>
      </c>
      <c r="AB260" s="2" t="s">
        <v>205</v>
      </c>
      <c r="AC260" s="8"/>
    </row>
    <row r="261" customFormat="false" ht="15" hidden="false" customHeight="false" outlineLevel="0" collapsed="false">
      <c r="A261" s="2" t="s">
        <v>982</v>
      </c>
      <c r="B261" s="2" t="s">
        <v>891</v>
      </c>
      <c r="C261" s="2" t="s">
        <v>90</v>
      </c>
      <c r="D261" s="2" t="s">
        <v>983</v>
      </c>
      <c r="E261" s="2" t="s">
        <v>984</v>
      </c>
      <c r="F261" s="2" t="s">
        <v>186</v>
      </c>
      <c r="G261" s="2" t="s">
        <v>186</v>
      </c>
      <c r="H261" s="5" t="n">
        <v>400</v>
      </c>
      <c r="I261" s="6" t="n">
        <f aca="false">INDEX(SUPPLIERS!$D$3:$D$30,MATCH(C261,SUPPLIERS!$A$3:$A$30,0))</f>
        <v>0</v>
      </c>
      <c r="J261" s="5" t="n">
        <f aca="false">H261*(1-I261)</f>
        <v>400</v>
      </c>
      <c r="M261" s="5" t="str">
        <f aca="false">IF(K261="","",J261/K261)</f>
        <v/>
      </c>
      <c r="N261" s="2" t="n">
        <v>0.123</v>
      </c>
      <c r="O261" s="13" t="n">
        <v>0.00014</v>
      </c>
      <c r="P261" s="2" t="s">
        <v>310</v>
      </c>
      <c r="Q261" s="14" t="n">
        <f aca="false">MAX(N261/DRIVERS!$B$5,O261/DRIVERS!$B$6)</f>
        <v>4.1E-005</v>
      </c>
      <c r="R261" s="15" t="n">
        <f aca="false">ROUNDDOWN(1/Q261,0)</f>
        <v>24390</v>
      </c>
      <c r="S261" s="5" t="n">
        <f aca="false">DRIVERS!$B$23*Q261/DRIVERS!$B$24</f>
        <v>0.212827958942226</v>
      </c>
      <c r="T261" s="5" t="n">
        <f aca="false">J261*INDEX(DRIVERS!$C$32:$C$42,MATCH(B261,DRIVERS!$A$32:$A$42,0))</f>
        <v>0</v>
      </c>
      <c r="U261" s="5" t="n">
        <f aca="false">J261*INDEX(SUPPLIERS!$E$3:$E$30,MATCH(C261,SUPPLIERS!$A$3:$A$30,0))</f>
        <v>0</v>
      </c>
      <c r="V261" s="5" t="n">
        <v>0</v>
      </c>
      <c r="W261" s="5" t="n">
        <f aca="false">J261+S261+T261+U261+V261</f>
        <v>400.212827958942</v>
      </c>
      <c r="X261" s="9" t="n">
        <f aca="false">W261/J261-1</f>
        <v>0.000532069897355658</v>
      </c>
      <c r="Y261" s="6" t="n">
        <f aca="false">INDEX(DRIVERS!$B$32:$B$42,MATCH(B261,DRIVERS!$A$32:$A$42,0))</f>
        <v>0.3</v>
      </c>
      <c r="Z261" s="5" t="n">
        <f aca="false">W261*(1+Y261)</f>
        <v>520.276676346625</v>
      </c>
      <c r="AA261" s="5" t="n">
        <f aca="false">W261*(1+Y261+DRIVERS!$B$26)*(1+DRIVERS!$B$27)</f>
        <v>605.121795873921</v>
      </c>
      <c r="AB261" s="2" t="s">
        <v>205</v>
      </c>
      <c r="AC261" s="8"/>
    </row>
    <row r="262" customFormat="false" ht="15" hidden="false" customHeight="false" outlineLevel="0" collapsed="false">
      <c r="A262" s="2" t="s">
        <v>73</v>
      </c>
      <c r="B262" s="2" t="s">
        <v>891</v>
      </c>
      <c r="C262" s="2" t="s">
        <v>90</v>
      </c>
      <c r="D262" s="2" t="s">
        <v>985</v>
      </c>
      <c r="E262" s="2" t="s">
        <v>986</v>
      </c>
      <c r="F262" s="2" t="s">
        <v>186</v>
      </c>
      <c r="G262" s="2" t="s">
        <v>186</v>
      </c>
      <c r="H262" s="5" t="n">
        <v>400</v>
      </c>
      <c r="I262" s="6" t="n">
        <f aca="false">INDEX(SUPPLIERS!$D$3:$D$30,MATCH(C262,SUPPLIERS!$A$3:$A$30,0))</f>
        <v>0</v>
      </c>
      <c r="J262" s="5" t="n">
        <f aca="false">H262*(1-I262)</f>
        <v>400</v>
      </c>
      <c r="M262" s="5" t="str">
        <f aca="false">IF(K262="","",J262/K262)</f>
        <v/>
      </c>
      <c r="N262" s="2" t="n">
        <v>0.3</v>
      </c>
      <c r="O262" s="13" t="n">
        <v>0.00022</v>
      </c>
      <c r="P262" s="2" t="s">
        <v>310</v>
      </c>
      <c r="Q262" s="14" t="n">
        <f aca="false">MAX(N262/DRIVERS!$B$5,O262/DRIVERS!$B$6)</f>
        <v>1E-004</v>
      </c>
      <c r="R262" s="15" t="n">
        <f aca="false">ROUNDDOWN(1/Q262,0)</f>
        <v>10000</v>
      </c>
      <c r="S262" s="5" t="n">
        <f aca="false">DRIVERS!$B$23*Q262/DRIVERS!$B$24</f>
        <v>0.519092582785918</v>
      </c>
      <c r="T262" s="5" t="n">
        <f aca="false">J262*INDEX(DRIVERS!$C$32:$C$42,MATCH(B262,DRIVERS!$A$32:$A$42,0))</f>
        <v>0</v>
      </c>
      <c r="U262" s="5" t="n">
        <f aca="false">J262*INDEX(SUPPLIERS!$E$3:$E$30,MATCH(C262,SUPPLIERS!$A$3:$A$30,0))</f>
        <v>0</v>
      </c>
      <c r="V262" s="5" t="n">
        <v>0</v>
      </c>
      <c r="W262" s="5" t="n">
        <f aca="false">J262+S262+T262+U262+V262</f>
        <v>400.519092582786</v>
      </c>
      <c r="X262" s="9" t="n">
        <f aca="false">W262/J262-1</f>
        <v>0.00129773145696466</v>
      </c>
      <c r="Y262" s="6" t="n">
        <f aca="false">INDEX(DRIVERS!$B$32:$B$42,MATCH(B262,DRIVERS!$A$32:$A$42,0))</f>
        <v>0.3</v>
      </c>
      <c r="Z262" s="5" t="n">
        <f aca="false">W262*(1+Y262)</f>
        <v>520.674820357622</v>
      </c>
      <c r="AA262" s="5" t="n">
        <f aca="false">W262*(1+Y262+DRIVERS!$B$26)*(1+DRIVERS!$B$27)</f>
        <v>605.584867985172</v>
      </c>
      <c r="AB262" s="2" t="s">
        <v>205</v>
      </c>
      <c r="AC262" s="8"/>
    </row>
    <row r="263" customFormat="false" ht="15" hidden="false" customHeight="false" outlineLevel="0" collapsed="false">
      <c r="A263" s="2" t="s">
        <v>987</v>
      </c>
      <c r="B263" s="2" t="s">
        <v>891</v>
      </c>
      <c r="C263" s="2" t="s">
        <v>90</v>
      </c>
      <c r="D263" s="2" t="s">
        <v>988</v>
      </c>
      <c r="E263" s="2" t="s">
        <v>989</v>
      </c>
      <c r="F263" s="2" t="s">
        <v>186</v>
      </c>
      <c r="G263" s="2" t="s">
        <v>186</v>
      </c>
      <c r="H263" s="5" t="n">
        <v>600</v>
      </c>
      <c r="I263" s="6" t="n">
        <f aca="false">INDEX(SUPPLIERS!$D$3:$D$30,MATCH(C263,SUPPLIERS!$A$3:$A$30,0))</f>
        <v>0</v>
      </c>
      <c r="J263" s="5" t="n">
        <f aca="false">H263*(1-I263)</f>
        <v>600</v>
      </c>
      <c r="M263" s="5" t="str">
        <f aca="false">IF(K263="","",J263/K263)</f>
        <v/>
      </c>
      <c r="N263" s="2" t="n">
        <v>0.3</v>
      </c>
      <c r="O263" s="13" t="n">
        <v>0.0003</v>
      </c>
      <c r="P263" s="2" t="s">
        <v>310</v>
      </c>
      <c r="Q263" s="14" t="n">
        <f aca="false">MAX(N263/DRIVERS!$B$5,O263/DRIVERS!$B$6)</f>
        <v>1E-004</v>
      </c>
      <c r="R263" s="15" t="n">
        <f aca="false">ROUNDDOWN(1/Q263,0)</f>
        <v>10000</v>
      </c>
      <c r="S263" s="5" t="n">
        <f aca="false">DRIVERS!$B$23*Q263/DRIVERS!$B$24</f>
        <v>0.519092582785918</v>
      </c>
      <c r="T263" s="5" t="n">
        <f aca="false">J263*INDEX(DRIVERS!$C$32:$C$42,MATCH(B263,DRIVERS!$A$32:$A$42,0))</f>
        <v>0</v>
      </c>
      <c r="U263" s="5" t="n">
        <f aca="false">J263*INDEX(SUPPLIERS!$E$3:$E$30,MATCH(C263,SUPPLIERS!$A$3:$A$30,0))</f>
        <v>0</v>
      </c>
      <c r="V263" s="5" t="n">
        <v>0</v>
      </c>
      <c r="W263" s="5" t="n">
        <f aca="false">J263+S263+T263+U263+V263</f>
        <v>600.519092582786</v>
      </c>
      <c r="X263" s="9" t="n">
        <f aca="false">W263/J263-1</f>
        <v>0.000865154304643179</v>
      </c>
      <c r="Y263" s="6" t="n">
        <f aca="false">INDEX(DRIVERS!$B$32:$B$42,MATCH(B263,DRIVERS!$A$32:$A$42,0))</f>
        <v>0.3</v>
      </c>
      <c r="Z263" s="5" t="n">
        <f aca="false">W263*(1+Y263)</f>
        <v>780.674820357622</v>
      </c>
      <c r="AA263" s="5" t="n">
        <f aca="false">W263*(1+Y263+DRIVERS!$B$26)*(1+DRIVERS!$B$27)</f>
        <v>907.984867985173</v>
      </c>
      <c r="AB263" s="2" t="s">
        <v>205</v>
      </c>
      <c r="AC263" s="8"/>
    </row>
    <row r="264" customFormat="false" ht="15" hidden="false" customHeight="false" outlineLevel="0" collapsed="false">
      <c r="A264" s="2" t="s">
        <v>990</v>
      </c>
      <c r="B264" s="2" t="s">
        <v>891</v>
      </c>
      <c r="C264" s="2" t="s">
        <v>90</v>
      </c>
      <c r="D264" s="2" t="s">
        <v>991</v>
      </c>
      <c r="E264" s="2" t="s">
        <v>992</v>
      </c>
      <c r="F264" s="2" t="s">
        <v>186</v>
      </c>
      <c r="G264" s="2" t="s">
        <v>186</v>
      </c>
      <c r="H264" s="5" t="n">
        <v>600</v>
      </c>
      <c r="I264" s="6" t="n">
        <f aca="false">INDEX(SUPPLIERS!$D$3:$D$30,MATCH(C264,SUPPLIERS!$A$3:$A$30,0))</f>
        <v>0</v>
      </c>
      <c r="J264" s="5" t="n">
        <f aca="false">H264*(1-I264)</f>
        <v>600</v>
      </c>
      <c r="M264" s="5" t="str">
        <f aca="false">IF(K264="","",J264/K264)</f>
        <v/>
      </c>
      <c r="N264" s="2" t="n">
        <v>0.43</v>
      </c>
      <c r="O264" s="13" t="n">
        <v>0.00041</v>
      </c>
      <c r="P264" s="2" t="s">
        <v>310</v>
      </c>
      <c r="Q264" s="14" t="n">
        <f aca="false">MAX(N264/DRIVERS!$B$5,O264/DRIVERS!$B$6)</f>
        <v>0.000143333333333333</v>
      </c>
      <c r="R264" s="15" t="n">
        <f aca="false">ROUNDDOWN(1/Q264,0)</f>
        <v>6976</v>
      </c>
      <c r="S264" s="5" t="n">
        <f aca="false">DRIVERS!$B$23*Q264/DRIVERS!$B$24</f>
        <v>0.744032701993149</v>
      </c>
      <c r="T264" s="5" t="n">
        <f aca="false">J264*INDEX(DRIVERS!$C$32:$C$42,MATCH(B264,DRIVERS!$A$32:$A$42,0))</f>
        <v>0</v>
      </c>
      <c r="U264" s="5" t="n">
        <f aca="false">J264*INDEX(SUPPLIERS!$E$3:$E$30,MATCH(C264,SUPPLIERS!$A$3:$A$30,0))</f>
        <v>0</v>
      </c>
      <c r="V264" s="5" t="n">
        <v>0</v>
      </c>
      <c r="W264" s="5" t="n">
        <f aca="false">J264+S264+T264+U264+V264</f>
        <v>600.744032701993</v>
      </c>
      <c r="X264" s="9" t="n">
        <f aca="false">W264/J264-1</f>
        <v>0.00124005450332199</v>
      </c>
      <c r="Y264" s="6" t="n">
        <f aca="false">INDEX(DRIVERS!$B$32:$B$42,MATCH(B264,DRIVERS!$A$32:$A$42,0))</f>
        <v>0.3</v>
      </c>
      <c r="Z264" s="5" t="n">
        <f aca="false">W264*(1+Y264)</f>
        <v>780.967242512591</v>
      </c>
      <c r="AA264" s="5" t="n">
        <f aca="false">W264*(1+Y264+DRIVERS!$B$26)*(1+DRIVERS!$B$27)</f>
        <v>908.324977445414</v>
      </c>
      <c r="AB264" s="2" t="s">
        <v>205</v>
      </c>
      <c r="AC264" s="8"/>
    </row>
    <row r="265" customFormat="false" ht="15" hidden="false" customHeight="false" outlineLevel="0" collapsed="false">
      <c r="A265" s="2" t="s">
        <v>993</v>
      </c>
      <c r="B265" s="2" t="s">
        <v>891</v>
      </c>
      <c r="C265" s="2" t="s">
        <v>90</v>
      </c>
      <c r="D265" s="2" t="s">
        <v>994</v>
      </c>
      <c r="E265" s="2" t="s">
        <v>995</v>
      </c>
      <c r="F265" s="2" t="s">
        <v>186</v>
      </c>
      <c r="G265" s="2" t="s">
        <v>186</v>
      </c>
      <c r="H265" s="5" t="n">
        <v>600</v>
      </c>
      <c r="I265" s="6" t="n">
        <f aca="false">INDEX(SUPPLIERS!$D$3:$D$30,MATCH(C265,SUPPLIERS!$A$3:$A$30,0))</f>
        <v>0</v>
      </c>
      <c r="J265" s="5" t="n">
        <f aca="false">H265*(1-I265)</f>
        <v>600</v>
      </c>
      <c r="M265" s="5" t="str">
        <f aca="false">IF(K265="","",J265/K265)</f>
        <v/>
      </c>
      <c r="N265" s="2" t="n">
        <v>0.38</v>
      </c>
      <c r="O265" s="13" t="n">
        <v>0.00044</v>
      </c>
      <c r="P265" s="2" t="s">
        <v>310</v>
      </c>
      <c r="Q265" s="14" t="n">
        <f aca="false">MAX(N265/DRIVERS!$B$5,O265/DRIVERS!$B$6)</f>
        <v>0.000126666666666667</v>
      </c>
      <c r="R265" s="15" t="n">
        <f aca="false">ROUNDDOWN(1/Q265,0)</f>
        <v>7894</v>
      </c>
      <c r="S265" s="5" t="n">
        <f aca="false">DRIVERS!$B$23*Q265/DRIVERS!$B$24</f>
        <v>0.657517271528829</v>
      </c>
      <c r="T265" s="5" t="n">
        <f aca="false">J265*INDEX(DRIVERS!$C$32:$C$42,MATCH(B265,DRIVERS!$A$32:$A$42,0))</f>
        <v>0</v>
      </c>
      <c r="U265" s="5" t="n">
        <f aca="false">J265*INDEX(SUPPLIERS!$E$3:$E$30,MATCH(C265,SUPPLIERS!$A$3:$A$30,0))</f>
        <v>0</v>
      </c>
      <c r="V265" s="5" t="n">
        <v>0</v>
      </c>
      <c r="W265" s="5" t="n">
        <f aca="false">J265+S265+T265+U265+V265</f>
        <v>600.657517271529</v>
      </c>
      <c r="X265" s="9" t="n">
        <f aca="false">W265/J265-1</f>
        <v>0.00109586211921475</v>
      </c>
      <c r="Y265" s="6" t="n">
        <f aca="false">INDEX(DRIVERS!$B$32:$B$42,MATCH(B265,DRIVERS!$A$32:$A$42,0))</f>
        <v>0.3</v>
      </c>
      <c r="Z265" s="5" t="n">
        <f aca="false">W265*(1+Y265)</f>
        <v>780.854772452988</v>
      </c>
      <c r="AA265" s="5" t="n">
        <f aca="false">W265*(1+Y265+DRIVERS!$B$26)*(1+DRIVERS!$B$27)</f>
        <v>908.194166114552</v>
      </c>
      <c r="AB265" s="2" t="s">
        <v>205</v>
      </c>
      <c r="AC265" s="8"/>
    </row>
    <row r="266" customFormat="false" ht="15" hidden="false" customHeight="false" outlineLevel="0" collapsed="false">
      <c r="A266" s="2" t="s">
        <v>996</v>
      </c>
      <c r="B266" s="2" t="s">
        <v>891</v>
      </c>
      <c r="C266" s="2" t="s">
        <v>90</v>
      </c>
      <c r="D266" s="2" t="s">
        <v>997</v>
      </c>
      <c r="E266" s="2" t="s">
        <v>998</v>
      </c>
      <c r="F266" s="2" t="s">
        <v>186</v>
      </c>
      <c r="G266" s="2" t="s">
        <v>186</v>
      </c>
      <c r="H266" s="5" t="n">
        <v>600</v>
      </c>
      <c r="I266" s="6" t="n">
        <f aca="false">INDEX(SUPPLIERS!$D$3:$D$30,MATCH(C266,SUPPLIERS!$A$3:$A$30,0))</f>
        <v>0</v>
      </c>
      <c r="J266" s="5" t="n">
        <f aca="false">H266*(1-I266)</f>
        <v>600</v>
      </c>
      <c r="M266" s="5" t="str">
        <f aca="false">IF(K266="","",J266/K266)</f>
        <v/>
      </c>
      <c r="N266" s="2" t="n">
        <v>0.4</v>
      </c>
      <c r="O266" s="13" t="n">
        <v>0.00043</v>
      </c>
      <c r="P266" s="2" t="s">
        <v>310</v>
      </c>
      <c r="Q266" s="14" t="n">
        <f aca="false">MAX(N266/DRIVERS!$B$5,O266/DRIVERS!$B$6)</f>
        <v>0.000133333333333333</v>
      </c>
      <c r="R266" s="15" t="n">
        <f aca="false">ROUNDDOWN(1/Q266,0)</f>
        <v>7500</v>
      </c>
      <c r="S266" s="5" t="n">
        <f aca="false">DRIVERS!$B$23*Q266/DRIVERS!$B$24</f>
        <v>0.692123443714557</v>
      </c>
      <c r="T266" s="5" t="n">
        <f aca="false">J266*INDEX(DRIVERS!$C$32:$C$42,MATCH(B266,DRIVERS!$A$32:$A$42,0))</f>
        <v>0</v>
      </c>
      <c r="U266" s="5" t="n">
        <f aca="false">J266*INDEX(SUPPLIERS!$E$3:$E$30,MATCH(C266,SUPPLIERS!$A$3:$A$30,0))</f>
        <v>0</v>
      </c>
      <c r="V266" s="5" t="n">
        <v>0</v>
      </c>
      <c r="W266" s="5" t="n">
        <f aca="false">J266+S266+T266+U266+V266</f>
        <v>600.692123443715</v>
      </c>
      <c r="X266" s="9" t="n">
        <f aca="false">W266/J266-1</f>
        <v>0.00115353907285765</v>
      </c>
      <c r="Y266" s="6" t="n">
        <f aca="false">INDEX(DRIVERS!$B$32:$B$42,MATCH(B266,DRIVERS!$A$32:$A$42,0))</f>
        <v>0.3</v>
      </c>
      <c r="Z266" s="5" t="n">
        <f aca="false">W266*(1+Y266)</f>
        <v>780.899760476829</v>
      </c>
      <c r="AA266" s="5" t="n">
        <f aca="false">W266*(1+Y266+DRIVERS!$B$26)*(1+DRIVERS!$B$27)</f>
        <v>908.246490646897</v>
      </c>
      <c r="AB266" s="2" t="s">
        <v>205</v>
      </c>
      <c r="AC266" s="8"/>
    </row>
    <row r="267" customFormat="false" ht="15" hidden="false" customHeight="false" outlineLevel="0" collapsed="false">
      <c r="A267" s="2" t="s">
        <v>999</v>
      </c>
      <c r="B267" s="2" t="s">
        <v>891</v>
      </c>
      <c r="C267" s="2" t="s">
        <v>90</v>
      </c>
      <c r="D267" s="2" t="s">
        <v>1000</v>
      </c>
      <c r="E267" s="2" t="s">
        <v>1001</v>
      </c>
      <c r="F267" s="2" t="s">
        <v>186</v>
      </c>
      <c r="G267" s="2" t="s">
        <v>186</v>
      </c>
      <c r="H267" s="5" t="n">
        <v>1500</v>
      </c>
      <c r="I267" s="6" t="n">
        <f aca="false">INDEX(SUPPLIERS!$D$3:$D$30,MATCH(C267,SUPPLIERS!$A$3:$A$30,0))</f>
        <v>0</v>
      </c>
      <c r="J267" s="5" t="n">
        <f aca="false">H267*(1-I267)</f>
        <v>1500</v>
      </c>
      <c r="M267" s="5" t="str">
        <f aca="false">IF(K267="","",J267/K267)</f>
        <v/>
      </c>
      <c r="N267" s="2" t="n">
        <v>0.38</v>
      </c>
      <c r="O267" s="13" t="n">
        <v>0.0004</v>
      </c>
      <c r="P267" s="2" t="s">
        <v>310</v>
      </c>
      <c r="Q267" s="14" t="n">
        <f aca="false">MAX(N267/DRIVERS!$B$5,O267/DRIVERS!$B$6)</f>
        <v>0.000126666666666667</v>
      </c>
      <c r="R267" s="15" t="n">
        <f aca="false">ROUNDDOWN(1/Q267,0)</f>
        <v>7894</v>
      </c>
      <c r="S267" s="5" t="n">
        <f aca="false">DRIVERS!$B$23*Q267/DRIVERS!$B$24</f>
        <v>0.657517271528829</v>
      </c>
      <c r="T267" s="5" t="n">
        <f aca="false">J267*INDEX(DRIVERS!$C$32:$C$42,MATCH(B267,DRIVERS!$A$32:$A$42,0))</f>
        <v>0</v>
      </c>
      <c r="U267" s="5" t="n">
        <f aca="false">J267*INDEX(SUPPLIERS!$E$3:$E$30,MATCH(C267,SUPPLIERS!$A$3:$A$30,0))</f>
        <v>0</v>
      </c>
      <c r="V267" s="5" t="n">
        <v>0</v>
      </c>
      <c r="W267" s="5" t="n">
        <f aca="false">J267+S267+T267+U267+V267</f>
        <v>1500.65751727153</v>
      </c>
      <c r="X267" s="9" t="n">
        <f aca="false">W267/J267-1</f>
        <v>0.000438344847685901</v>
      </c>
      <c r="Y267" s="6" t="n">
        <f aca="false">INDEX(DRIVERS!$B$32:$B$42,MATCH(B267,DRIVERS!$A$32:$A$42,0))</f>
        <v>0.3</v>
      </c>
      <c r="Z267" s="5" t="n">
        <f aca="false">W267*(1+Y267)</f>
        <v>1950.85477245299</v>
      </c>
      <c r="AA267" s="5" t="n">
        <f aca="false">W267*(1+Y267+DRIVERS!$B$26)*(1+DRIVERS!$B$27)</f>
        <v>2268.99416611455</v>
      </c>
      <c r="AB267" s="2" t="s">
        <v>205</v>
      </c>
      <c r="AC267" s="8"/>
    </row>
    <row r="268" customFormat="false" ht="15" hidden="false" customHeight="false" outlineLevel="0" collapsed="false">
      <c r="A268" s="2" t="s">
        <v>1002</v>
      </c>
      <c r="B268" s="2" t="s">
        <v>891</v>
      </c>
      <c r="C268" s="2" t="s">
        <v>90</v>
      </c>
      <c r="D268" s="2" t="s">
        <v>1003</v>
      </c>
      <c r="E268" s="2" t="s">
        <v>1004</v>
      </c>
      <c r="F268" s="2" t="s">
        <v>186</v>
      </c>
      <c r="G268" s="2" t="s">
        <v>186</v>
      </c>
      <c r="H268" s="5" t="n">
        <v>3500</v>
      </c>
      <c r="I268" s="6" t="n">
        <f aca="false">INDEX(SUPPLIERS!$D$3:$D$30,MATCH(C268,SUPPLIERS!$A$3:$A$30,0))</f>
        <v>0</v>
      </c>
      <c r="J268" s="5" t="n">
        <f aca="false">H268*(1-I268)</f>
        <v>3500</v>
      </c>
      <c r="M268" s="5" t="str">
        <f aca="false">IF(K268="","",J268/K268)</f>
        <v/>
      </c>
      <c r="N268" s="2" t="n">
        <v>1.85</v>
      </c>
      <c r="O268" s="13" t="n">
        <v>0.00334</v>
      </c>
      <c r="P268" s="2" t="s">
        <v>310</v>
      </c>
      <c r="Q268" s="14" t="n">
        <f aca="false">MAX(N268/DRIVERS!$B$5,O268/DRIVERS!$B$6)</f>
        <v>0.000616666666666667</v>
      </c>
      <c r="R268" s="15" t="n">
        <f aca="false">ROUNDDOWN(1/Q268,0)</f>
        <v>1621</v>
      </c>
      <c r="S268" s="5" t="n">
        <f aca="false">DRIVERS!$B$23*Q268/DRIVERS!$B$24</f>
        <v>3.20107092717983</v>
      </c>
      <c r="T268" s="5" t="n">
        <f aca="false">J268*INDEX(DRIVERS!$C$32:$C$42,MATCH(B268,DRIVERS!$A$32:$A$42,0))</f>
        <v>0</v>
      </c>
      <c r="U268" s="5" t="n">
        <f aca="false">J268*INDEX(SUPPLIERS!$E$3:$E$30,MATCH(C268,SUPPLIERS!$A$3:$A$30,0))</f>
        <v>0</v>
      </c>
      <c r="V268" s="5" t="n">
        <v>0</v>
      </c>
      <c r="W268" s="5" t="n">
        <f aca="false">J268+S268+T268+U268+V268</f>
        <v>3503.20107092718</v>
      </c>
      <c r="X268" s="9" t="n">
        <f aca="false">W268/J268-1</f>
        <v>0.000914591693480071</v>
      </c>
      <c r="Y268" s="6" t="n">
        <f aca="false">INDEX(DRIVERS!$B$32:$B$42,MATCH(B268,DRIVERS!$A$32:$A$42,0))</f>
        <v>0.3</v>
      </c>
      <c r="Z268" s="5" t="n">
        <f aca="false">W268*(1+Y268)</f>
        <v>4554.16139220533</v>
      </c>
      <c r="AA268" s="5" t="n">
        <f aca="false">W268*(1+Y268+DRIVERS!$B$26)*(1+DRIVERS!$B$27)</f>
        <v>5296.8400192419</v>
      </c>
      <c r="AB268" s="2" t="s">
        <v>205</v>
      </c>
      <c r="AC268" s="8"/>
    </row>
    <row r="269" customFormat="false" ht="15" hidden="false" customHeight="false" outlineLevel="0" collapsed="false">
      <c r="A269" s="2" t="s">
        <v>1005</v>
      </c>
      <c r="B269" s="2" t="s">
        <v>891</v>
      </c>
      <c r="C269" s="2" t="s">
        <v>90</v>
      </c>
      <c r="D269" s="2" t="s">
        <v>1006</v>
      </c>
      <c r="E269" s="2" t="s">
        <v>1007</v>
      </c>
      <c r="F269" s="2" t="s">
        <v>186</v>
      </c>
      <c r="G269" s="2" t="s">
        <v>186</v>
      </c>
      <c r="H269" s="5" t="n">
        <v>3800</v>
      </c>
      <c r="I269" s="6" t="n">
        <f aca="false">INDEX(SUPPLIERS!$D$3:$D$30,MATCH(C269,SUPPLIERS!$A$3:$A$30,0))</f>
        <v>0</v>
      </c>
      <c r="J269" s="5" t="n">
        <f aca="false">H269*(1-I269)</f>
        <v>3800</v>
      </c>
      <c r="M269" s="5" t="str">
        <f aca="false">IF(K269="","",J269/K269)</f>
        <v/>
      </c>
      <c r="N269" s="2" t="n">
        <v>0.71</v>
      </c>
      <c r="O269" s="13" t="n">
        <v>0.00287</v>
      </c>
      <c r="P269" s="2" t="s">
        <v>310</v>
      </c>
      <c r="Q269" s="14" t="n">
        <f aca="false">MAX(N269/DRIVERS!$B$5,O269/DRIVERS!$B$6)</f>
        <v>0.000236666666666667</v>
      </c>
      <c r="R269" s="15" t="n">
        <f aca="false">ROUNDDOWN(1/Q269,0)</f>
        <v>4225</v>
      </c>
      <c r="S269" s="5" t="n">
        <f aca="false">DRIVERS!$B$23*Q269/DRIVERS!$B$24</f>
        <v>1.22851911259334</v>
      </c>
      <c r="T269" s="5" t="n">
        <f aca="false">J269*INDEX(DRIVERS!$C$32:$C$42,MATCH(B269,DRIVERS!$A$32:$A$42,0))</f>
        <v>0</v>
      </c>
      <c r="U269" s="5" t="n">
        <f aca="false">J269*INDEX(SUPPLIERS!$E$3:$E$30,MATCH(C269,SUPPLIERS!$A$3:$A$30,0))</f>
        <v>0</v>
      </c>
      <c r="V269" s="5" t="n">
        <v>0</v>
      </c>
      <c r="W269" s="5" t="n">
        <f aca="false">J269+S269+T269+U269+V269</f>
        <v>3801.22851911259</v>
      </c>
      <c r="X269" s="9" t="n">
        <f aca="false">W269/J269-1</f>
        <v>0.000323294503314031</v>
      </c>
      <c r="Y269" s="6" t="n">
        <f aca="false">INDEX(DRIVERS!$B$32:$B$42,MATCH(B269,DRIVERS!$A$32:$A$42,0))</f>
        <v>0.3</v>
      </c>
      <c r="Z269" s="5" t="n">
        <f aca="false">W269*(1+Y269)</f>
        <v>4941.59707484637</v>
      </c>
      <c r="AA269" s="5" t="n">
        <f aca="false">W269*(1+Y269+DRIVERS!$B$26)*(1+DRIVERS!$B$27)</f>
        <v>5747.45752089824</v>
      </c>
      <c r="AB269" s="2" t="s">
        <v>205</v>
      </c>
      <c r="AC269" s="8"/>
    </row>
    <row r="270" customFormat="false" ht="15" hidden="false" customHeight="false" outlineLevel="0" collapsed="false">
      <c r="A270" s="2" t="s">
        <v>1008</v>
      </c>
      <c r="B270" s="2" t="s">
        <v>891</v>
      </c>
      <c r="C270" s="2" t="s">
        <v>90</v>
      </c>
      <c r="D270" s="2" t="s">
        <v>1009</v>
      </c>
      <c r="E270" s="2" t="s">
        <v>1010</v>
      </c>
      <c r="F270" s="2" t="s">
        <v>186</v>
      </c>
      <c r="G270" s="2" t="s">
        <v>186</v>
      </c>
      <c r="H270" s="5" t="n">
        <v>6000</v>
      </c>
      <c r="I270" s="6" t="n">
        <f aca="false">INDEX(SUPPLIERS!$D$3:$D$30,MATCH(C270,SUPPLIERS!$A$3:$A$30,0))</f>
        <v>0</v>
      </c>
      <c r="J270" s="5" t="n">
        <f aca="false">H270*(1-I270)</f>
        <v>6000</v>
      </c>
      <c r="M270" s="5" t="str">
        <f aca="false">IF(K270="","",J270/K270)</f>
        <v/>
      </c>
      <c r="N270" s="2" t="n">
        <v>2.6</v>
      </c>
      <c r="O270" s="13" t="n">
        <v>0.00676</v>
      </c>
      <c r="P270" s="2" t="s">
        <v>310</v>
      </c>
      <c r="Q270" s="14" t="n">
        <f aca="false">MAX(N270/DRIVERS!$B$5,O270/DRIVERS!$B$6)</f>
        <v>0.000866666666666667</v>
      </c>
      <c r="R270" s="15" t="n">
        <f aca="false">ROUNDDOWN(1/Q270,0)</f>
        <v>1153</v>
      </c>
      <c r="S270" s="5" t="n">
        <f aca="false">DRIVERS!$B$23*Q270/DRIVERS!$B$24</f>
        <v>4.49880238414462</v>
      </c>
      <c r="T270" s="5" t="n">
        <f aca="false">J270*INDEX(DRIVERS!$C$32:$C$42,MATCH(B270,DRIVERS!$A$32:$A$42,0))</f>
        <v>0</v>
      </c>
      <c r="U270" s="5" t="n">
        <f aca="false">J270*INDEX(SUPPLIERS!$E$3:$E$30,MATCH(C270,SUPPLIERS!$A$3:$A$30,0))</f>
        <v>0</v>
      </c>
      <c r="V270" s="5" t="n">
        <v>0</v>
      </c>
      <c r="W270" s="5" t="n">
        <f aca="false">J270+S270+T270+U270+V270</f>
        <v>6004.49880238414</v>
      </c>
      <c r="X270" s="9" t="n">
        <f aca="false">W270/J270-1</f>
        <v>0.000749800397357392</v>
      </c>
      <c r="Y270" s="6" t="n">
        <f aca="false">INDEX(DRIVERS!$B$32:$B$42,MATCH(B270,DRIVERS!$A$32:$A$42,0))</f>
        <v>0.3</v>
      </c>
      <c r="Z270" s="5" t="n">
        <f aca="false">W270*(1+Y270)</f>
        <v>7805.84844309939</v>
      </c>
      <c r="AA270" s="5" t="n">
        <f aca="false">W270*(1+Y270+DRIVERS!$B$26)*(1+DRIVERS!$B$27)</f>
        <v>9078.80218920483</v>
      </c>
      <c r="AB270" s="2" t="s">
        <v>205</v>
      </c>
      <c r="AC270" s="8"/>
    </row>
    <row r="271" customFormat="false" ht="15" hidden="false" customHeight="false" outlineLevel="0" collapsed="false">
      <c r="A271" s="2" t="s">
        <v>1011</v>
      </c>
      <c r="B271" s="2" t="s">
        <v>891</v>
      </c>
      <c r="C271" s="2" t="s">
        <v>90</v>
      </c>
      <c r="D271" s="2" t="s">
        <v>1012</v>
      </c>
      <c r="E271" s="2" t="s">
        <v>1013</v>
      </c>
      <c r="F271" s="2" t="s">
        <v>186</v>
      </c>
      <c r="G271" s="2" t="s">
        <v>186</v>
      </c>
      <c r="H271" s="5" t="n">
        <v>7000</v>
      </c>
      <c r="I271" s="6" t="n">
        <f aca="false">INDEX(SUPPLIERS!$D$3:$D$30,MATCH(C271,SUPPLIERS!$A$3:$A$30,0))</f>
        <v>0</v>
      </c>
      <c r="J271" s="5" t="n">
        <f aca="false">H271*(1-I271)</f>
        <v>7000</v>
      </c>
      <c r="M271" s="5" t="str">
        <f aca="false">IF(K271="","",J271/K271)</f>
        <v/>
      </c>
      <c r="N271" s="2" t="n">
        <v>2.5</v>
      </c>
      <c r="O271" s="13" t="n">
        <v>0.00676</v>
      </c>
      <c r="P271" s="2" t="s">
        <v>310</v>
      </c>
      <c r="Q271" s="14" t="n">
        <f aca="false">MAX(N271/DRIVERS!$B$5,O271/DRIVERS!$B$6)</f>
        <v>0.000833333333333333</v>
      </c>
      <c r="R271" s="15" t="n">
        <f aca="false">ROUNDDOWN(1/Q271,0)</f>
        <v>1200</v>
      </c>
      <c r="S271" s="5" t="n">
        <f aca="false">DRIVERS!$B$23*Q271/DRIVERS!$B$24</f>
        <v>4.32577152321598</v>
      </c>
      <c r="T271" s="5" t="n">
        <f aca="false">J271*INDEX(DRIVERS!$C$32:$C$42,MATCH(B271,DRIVERS!$A$32:$A$42,0))</f>
        <v>0</v>
      </c>
      <c r="U271" s="5" t="n">
        <f aca="false">J271*INDEX(SUPPLIERS!$E$3:$E$30,MATCH(C271,SUPPLIERS!$A$3:$A$30,0))</f>
        <v>0</v>
      </c>
      <c r="V271" s="5" t="n">
        <v>0</v>
      </c>
      <c r="W271" s="5" t="n">
        <f aca="false">J271+S271+T271+U271+V271</f>
        <v>7004.32577152322</v>
      </c>
      <c r="X271" s="9" t="n">
        <f aca="false">W271/J271-1</f>
        <v>0.000617967360459382</v>
      </c>
      <c r="Y271" s="6" t="n">
        <f aca="false">INDEX(DRIVERS!$B$32:$B$42,MATCH(B271,DRIVERS!$A$32:$A$42,0))</f>
        <v>0.3</v>
      </c>
      <c r="Z271" s="5" t="n">
        <f aca="false">W271*(1+Y271)</f>
        <v>9105.62350298018</v>
      </c>
      <c r="AA271" s="5" t="n">
        <f aca="false">W271*(1+Y271+DRIVERS!$B$26)*(1+DRIVERS!$B$27)</f>
        <v>10590.5405665431</v>
      </c>
      <c r="AB271" s="2" t="s">
        <v>205</v>
      </c>
      <c r="AC271" s="8"/>
    </row>
    <row r="272" customFormat="false" ht="15" hidden="false" customHeight="false" outlineLevel="0" collapsed="false">
      <c r="A272" s="2" t="s">
        <v>1014</v>
      </c>
      <c r="B272" s="2" t="s">
        <v>891</v>
      </c>
      <c r="C272" s="2" t="s">
        <v>92</v>
      </c>
      <c r="D272" s="2" t="s">
        <v>1015</v>
      </c>
      <c r="E272" s="2" t="s">
        <v>1016</v>
      </c>
      <c r="F272" s="2" t="s">
        <v>186</v>
      </c>
      <c r="G272" s="2" t="s">
        <v>186</v>
      </c>
      <c r="H272" s="5" t="n">
        <v>800</v>
      </c>
      <c r="I272" s="6" t="n">
        <f aca="false">INDEX(SUPPLIERS!$D$3:$D$30,MATCH(C272,SUPPLIERS!$A$3:$A$30,0))</f>
        <v>0</v>
      </c>
      <c r="J272" s="5" t="n">
        <f aca="false">H272*(1-I272)</f>
        <v>800</v>
      </c>
      <c r="M272" s="5" t="str">
        <f aca="false">IF(K272="","",J272/K272)</f>
        <v/>
      </c>
      <c r="N272" s="2" t="n">
        <v>0.55</v>
      </c>
      <c r="O272" s="13" t="n">
        <v>0.00043</v>
      </c>
      <c r="P272" s="2" t="s">
        <v>310</v>
      </c>
      <c r="Q272" s="14" t="n">
        <f aca="false">MAX(N272/DRIVERS!$B$5,O272/DRIVERS!$B$6)</f>
        <v>0.000183333333333333</v>
      </c>
      <c r="R272" s="15" t="n">
        <f aca="false">ROUNDDOWN(1/Q272,0)</f>
        <v>5454</v>
      </c>
      <c r="S272" s="5" t="n">
        <f aca="false">DRIVERS!$B$23*Q272/DRIVERS!$B$24</f>
        <v>0.951669735107516</v>
      </c>
      <c r="T272" s="5" t="n">
        <f aca="false">J272*INDEX(DRIVERS!$C$32:$C$42,MATCH(B272,DRIVERS!$A$32:$A$42,0))</f>
        <v>0</v>
      </c>
      <c r="U272" s="5" t="n">
        <f aca="false">J272*INDEX(SUPPLIERS!$E$3:$E$30,MATCH(C272,SUPPLIERS!$A$3:$A$30,0))</f>
        <v>0</v>
      </c>
      <c r="V272" s="5" t="n">
        <v>0</v>
      </c>
      <c r="W272" s="5" t="n">
        <f aca="false">J272+S272+T272+U272+V272</f>
        <v>800.951669735108</v>
      </c>
      <c r="X272" s="9" t="n">
        <f aca="false">W272/J272-1</f>
        <v>0.00118958716888451</v>
      </c>
      <c r="Y272" s="6" t="n">
        <f aca="false">INDEX(DRIVERS!$B$32:$B$42,MATCH(B272,DRIVERS!$A$32:$A$42,0))</f>
        <v>0.3</v>
      </c>
      <c r="Z272" s="5" t="n">
        <f aca="false">W272*(1+Y272)</f>
        <v>1041.23717065564</v>
      </c>
      <c r="AA272" s="5" t="n">
        <f aca="false">W272*(1+Y272+DRIVERS!$B$26)*(1+DRIVERS!$B$27)</f>
        <v>1211.03892463948</v>
      </c>
      <c r="AB272" s="2" t="s">
        <v>218</v>
      </c>
      <c r="AC272" s="8"/>
    </row>
    <row r="273" customFormat="false" ht="15" hidden="false" customHeight="false" outlineLevel="0" collapsed="false">
      <c r="A273" s="2" t="s">
        <v>1017</v>
      </c>
      <c r="B273" s="2" t="s">
        <v>891</v>
      </c>
      <c r="C273" s="2" t="s">
        <v>92</v>
      </c>
      <c r="D273" s="2" t="s">
        <v>1018</v>
      </c>
      <c r="E273" s="2" t="s">
        <v>1019</v>
      </c>
      <c r="F273" s="2" t="s">
        <v>186</v>
      </c>
      <c r="G273" s="2" t="s">
        <v>186</v>
      </c>
      <c r="H273" s="5" t="n">
        <v>1800</v>
      </c>
      <c r="I273" s="6" t="n">
        <f aca="false">INDEX(SUPPLIERS!$D$3:$D$30,MATCH(C273,SUPPLIERS!$A$3:$A$30,0))</f>
        <v>0</v>
      </c>
      <c r="J273" s="5" t="n">
        <f aca="false">H273*(1-I273)</f>
        <v>1800</v>
      </c>
      <c r="M273" s="5" t="str">
        <f aca="false">IF(K273="","",J273/K273)</f>
        <v/>
      </c>
      <c r="N273" s="2" t="n">
        <v>1.1</v>
      </c>
      <c r="O273" s="13" t="n">
        <v>0.00266</v>
      </c>
      <c r="P273" s="2" t="s">
        <v>310</v>
      </c>
      <c r="Q273" s="14" t="n">
        <f aca="false">MAX(N273/DRIVERS!$B$5,O273/DRIVERS!$B$6)</f>
        <v>0.000366666666666667</v>
      </c>
      <c r="R273" s="15" t="n">
        <f aca="false">ROUNDDOWN(1/Q273,0)</f>
        <v>2727</v>
      </c>
      <c r="S273" s="5" t="n">
        <f aca="false">DRIVERS!$B$23*Q273/DRIVERS!$B$24</f>
        <v>1.90333947021503</v>
      </c>
      <c r="T273" s="5" t="n">
        <f aca="false">J273*INDEX(DRIVERS!$C$32:$C$42,MATCH(B273,DRIVERS!$A$32:$A$42,0))</f>
        <v>0</v>
      </c>
      <c r="U273" s="5" t="n">
        <f aca="false">J273*INDEX(SUPPLIERS!$E$3:$E$30,MATCH(C273,SUPPLIERS!$A$3:$A$30,0))</f>
        <v>0</v>
      </c>
      <c r="V273" s="5" t="n">
        <v>0</v>
      </c>
      <c r="W273" s="5" t="n">
        <f aca="false">J273+S273+T273+U273+V273</f>
        <v>1801.90333947022</v>
      </c>
      <c r="X273" s="9" t="n">
        <f aca="false">W273/J273-1</f>
        <v>0.00105741081678623</v>
      </c>
      <c r="Y273" s="6" t="n">
        <f aca="false">INDEX(DRIVERS!$B$32:$B$42,MATCH(B273,DRIVERS!$A$32:$A$42,0))</f>
        <v>0.3</v>
      </c>
      <c r="Z273" s="5" t="n">
        <f aca="false">W273*(1+Y273)</f>
        <v>2342.47434131128</v>
      </c>
      <c r="AA273" s="5" t="n">
        <f aca="false">W273*(1+Y273+DRIVERS!$B$26)*(1+DRIVERS!$B$27)</f>
        <v>2724.47784927897</v>
      </c>
      <c r="AB273" s="2" t="s">
        <v>218</v>
      </c>
      <c r="AC273" s="8"/>
    </row>
    <row r="274" customFormat="false" ht="15" hidden="false" customHeight="false" outlineLevel="0" collapsed="false">
      <c r="A274" s="2" t="s">
        <v>1020</v>
      </c>
      <c r="B274" s="2" t="s">
        <v>891</v>
      </c>
      <c r="C274" s="2" t="s">
        <v>92</v>
      </c>
      <c r="D274" s="2" t="s">
        <v>1021</v>
      </c>
      <c r="E274" s="2" t="s">
        <v>1022</v>
      </c>
      <c r="F274" s="2" t="s">
        <v>186</v>
      </c>
      <c r="G274" s="2" t="s">
        <v>186</v>
      </c>
      <c r="H274" s="5" t="n">
        <v>2500</v>
      </c>
      <c r="I274" s="6" t="n">
        <f aca="false">INDEX(SUPPLIERS!$D$3:$D$30,MATCH(C274,SUPPLIERS!$A$3:$A$30,0))</f>
        <v>0</v>
      </c>
      <c r="J274" s="5" t="n">
        <f aca="false">H274*(1-I274)</f>
        <v>2500</v>
      </c>
      <c r="M274" s="5" t="str">
        <f aca="false">IF(K274="","",J274/K274)</f>
        <v/>
      </c>
      <c r="N274" s="2" t="n">
        <v>2.34</v>
      </c>
      <c r="O274" s="13" t="n">
        <v>0.00242</v>
      </c>
      <c r="P274" s="2" t="s">
        <v>310</v>
      </c>
      <c r="Q274" s="14" t="n">
        <f aca="false">MAX(N274/DRIVERS!$B$5,O274/DRIVERS!$B$6)</f>
        <v>0.00078</v>
      </c>
      <c r="R274" s="15" t="n">
        <f aca="false">ROUNDDOWN(1/Q274,0)</f>
        <v>1282</v>
      </c>
      <c r="S274" s="5" t="n">
        <f aca="false">DRIVERS!$B$23*Q274/DRIVERS!$B$24</f>
        <v>4.04892214573016</v>
      </c>
      <c r="T274" s="5" t="n">
        <f aca="false">J274*INDEX(DRIVERS!$C$32:$C$42,MATCH(B274,DRIVERS!$A$32:$A$42,0))</f>
        <v>0</v>
      </c>
      <c r="U274" s="5" t="n">
        <f aca="false">J274*INDEX(SUPPLIERS!$E$3:$E$30,MATCH(C274,SUPPLIERS!$A$3:$A$30,0))</f>
        <v>0</v>
      </c>
      <c r="V274" s="5" t="n">
        <v>0</v>
      </c>
      <c r="W274" s="5" t="n">
        <f aca="false">J274+S274+T274+U274+V274</f>
        <v>2504.04892214573</v>
      </c>
      <c r="X274" s="9" t="n">
        <f aca="false">W274/J274-1</f>
        <v>0.00161956885829206</v>
      </c>
      <c r="Y274" s="6" t="n">
        <f aca="false">INDEX(DRIVERS!$B$32:$B$42,MATCH(B274,DRIVERS!$A$32:$A$42,0))</f>
        <v>0.3</v>
      </c>
      <c r="Z274" s="5" t="n">
        <f aca="false">W274*(1+Y274)</f>
        <v>3255.26359878945</v>
      </c>
      <c r="AA274" s="5" t="n">
        <f aca="false">W274*(1+Y274+DRIVERS!$B$26)*(1+DRIVERS!$B$27)</f>
        <v>3786.12197028434</v>
      </c>
      <c r="AB274" s="2" t="s">
        <v>218</v>
      </c>
      <c r="AC274" s="8"/>
    </row>
    <row r="275" customFormat="false" ht="15" hidden="false" customHeight="false" outlineLevel="0" collapsed="false">
      <c r="A275" s="2" t="s">
        <v>1023</v>
      </c>
      <c r="B275" s="2" t="s">
        <v>891</v>
      </c>
      <c r="C275" s="2" t="s">
        <v>92</v>
      </c>
      <c r="D275" s="2" t="s">
        <v>1024</v>
      </c>
      <c r="E275" s="2" t="s">
        <v>1025</v>
      </c>
      <c r="F275" s="2" t="s">
        <v>186</v>
      </c>
      <c r="G275" s="2" t="s">
        <v>186</v>
      </c>
      <c r="H275" s="5" t="n">
        <v>3500</v>
      </c>
      <c r="I275" s="6" t="n">
        <f aca="false">INDEX(SUPPLIERS!$D$3:$D$30,MATCH(C275,SUPPLIERS!$A$3:$A$30,0))</f>
        <v>0</v>
      </c>
      <c r="J275" s="5" t="n">
        <f aca="false">H275*(1-I275)</f>
        <v>3500</v>
      </c>
      <c r="M275" s="5" t="str">
        <f aca="false">IF(K275="","",J275/K275)</f>
        <v/>
      </c>
      <c r="N275" s="2" t="n">
        <v>2.4</v>
      </c>
      <c r="O275" s="13" t="n">
        <v>0.00297</v>
      </c>
      <c r="P275" s="2" t="s">
        <v>310</v>
      </c>
      <c r="Q275" s="14" t="n">
        <f aca="false">MAX(N275/DRIVERS!$B$5,O275/DRIVERS!$B$6)</f>
        <v>0.0008</v>
      </c>
      <c r="R275" s="15" t="n">
        <f aca="false">ROUNDDOWN(1/Q275,0)</f>
        <v>1250</v>
      </c>
      <c r="S275" s="5" t="n">
        <f aca="false">DRIVERS!$B$23*Q275/DRIVERS!$B$24</f>
        <v>4.15274066228734</v>
      </c>
      <c r="T275" s="5" t="n">
        <f aca="false">J275*INDEX(DRIVERS!$C$32:$C$42,MATCH(B275,DRIVERS!$A$32:$A$42,0))</f>
        <v>0</v>
      </c>
      <c r="U275" s="5" t="n">
        <f aca="false">J275*INDEX(SUPPLIERS!$E$3:$E$30,MATCH(C275,SUPPLIERS!$A$3:$A$30,0))</f>
        <v>0</v>
      </c>
      <c r="V275" s="5" t="n">
        <v>0</v>
      </c>
      <c r="W275" s="5" t="n">
        <f aca="false">J275+S275+T275+U275+V275</f>
        <v>3504.15274066229</v>
      </c>
      <c r="X275" s="9" t="n">
        <f aca="false">W275/J275-1</f>
        <v>0.00118649733208209</v>
      </c>
      <c r="Y275" s="6" t="n">
        <f aca="false">INDEX(DRIVERS!$B$32:$B$42,MATCH(B275,DRIVERS!$A$32:$A$42,0))</f>
        <v>0.3</v>
      </c>
      <c r="Z275" s="5" t="n">
        <f aca="false">W275*(1+Y275)</f>
        <v>4555.39856286097</v>
      </c>
      <c r="AA275" s="5" t="n">
        <f aca="false">W275*(1+Y275+DRIVERS!$B$26)*(1+DRIVERS!$B$27)</f>
        <v>5298.27894388138</v>
      </c>
      <c r="AB275" s="2" t="s">
        <v>218</v>
      </c>
      <c r="AC275" s="8"/>
    </row>
    <row r="276" customFormat="false" ht="15" hidden="false" customHeight="false" outlineLevel="0" collapsed="false">
      <c r="A276" s="2" t="s">
        <v>1026</v>
      </c>
      <c r="B276" s="2" t="s">
        <v>891</v>
      </c>
      <c r="C276" s="2" t="s">
        <v>92</v>
      </c>
      <c r="D276" s="2" t="s">
        <v>1027</v>
      </c>
      <c r="E276" s="2" t="s">
        <v>1028</v>
      </c>
      <c r="F276" s="2" t="s">
        <v>186</v>
      </c>
      <c r="G276" s="2" t="s">
        <v>186</v>
      </c>
      <c r="H276" s="5" t="n">
        <v>4500</v>
      </c>
      <c r="I276" s="6" t="n">
        <f aca="false">INDEX(SUPPLIERS!$D$3:$D$30,MATCH(C276,SUPPLIERS!$A$3:$A$30,0))</f>
        <v>0</v>
      </c>
      <c r="J276" s="5" t="n">
        <f aca="false">H276*(1-I276)</f>
        <v>4500</v>
      </c>
      <c r="M276" s="5" t="str">
        <f aca="false">IF(K276="","",J276/K276)</f>
        <v/>
      </c>
      <c r="N276" s="2" t="n">
        <v>2.15</v>
      </c>
      <c r="O276" s="13" t="n">
        <v>0.00567</v>
      </c>
      <c r="P276" s="2" t="s">
        <v>310</v>
      </c>
      <c r="Q276" s="14" t="n">
        <f aca="false">MAX(N276/DRIVERS!$B$5,O276/DRIVERS!$B$6)</f>
        <v>0.000716666666666667</v>
      </c>
      <c r="R276" s="15" t="n">
        <f aca="false">ROUNDDOWN(1/Q276,0)</f>
        <v>1395</v>
      </c>
      <c r="S276" s="5" t="n">
        <f aca="false">DRIVERS!$B$23*Q276/DRIVERS!$B$24</f>
        <v>3.72016350996574</v>
      </c>
      <c r="T276" s="5" t="n">
        <f aca="false">J276*INDEX(DRIVERS!$C$32:$C$42,MATCH(B276,DRIVERS!$A$32:$A$42,0))</f>
        <v>0</v>
      </c>
      <c r="U276" s="5" t="n">
        <f aca="false">J276*INDEX(SUPPLIERS!$E$3:$E$30,MATCH(C276,SUPPLIERS!$A$3:$A$30,0))</f>
        <v>0</v>
      </c>
      <c r="V276" s="5" t="n">
        <v>0</v>
      </c>
      <c r="W276" s="5" t="n">
        <f aca="false">J276+S276+T276+U276+V276</f>
        <v>4503.72016350997</v>
      </c>
      <c r="X276" s="9" t="n">
        <f aca="false">W276/J276-1</f>
        <v>0.000826703002214657</v>
      </c>
      <c r="Y276" s="6" t="n">
        <f aca="false">INDEX(DRIVERS!$B$32:$B$42,MATCH(B276,DRIVERS!$A$32:$A$42,0))</f>
        <v>0.3</v>
      </c>
      <c r="Z276" s="5" t="n">
        <f aca="false">W276*(1+Y276)</f>
        <v>5854.83621256296</v>
      </c>
      <c r="AA276" s="5" t="n">
        <f aca="false">W276*(1+Y276+DRIVERS!$B$26)*(1+DRIVERS!$B$27)</f>
        <v>6809.62488722707</v>
      </c>
      <c r="AB276" s="2" t="s">
        <v>218</v>
      </c>
      <c r="AC276" s="8"/>
    </row>
    <row r="277" customFormat="false" ht="15" hidden="false" customHeight="false" outlineLevel="0" collapsed="false">
      <c r="A277" s="2" t="s">
        <v>1029</v>
      </c>
      <c r="B277" s="2" t="s">
        <v>891</v>
      </c>
      <c r="C277" s="2" t="s">
        <v>92</v>
      </c>
      <c r="D277" s="2" t="s">
        <v>1030</v>
      </c>
      <c r="E277" s="2" t="s">
        <v>1031</v>
      </c>
      <c r="F277" s="2" t="s">
        <v>186</v>
      </c>
      <c r="G277" s="2" t="s">
        <v>186</v>
      </c>
      <c r="H277" s="5" t="n">
        <v>700</v>
      </c>
      <c r="I277" s="6" t="n">
        <f aca="false">INDEX(SUPPLIERS!$D$3:$D$30,MATCH(C277,SUPPLIERS!$A$3:$A$30,0))</f>
        <v>0</v>
      </c>
      <c r="J277" s="5" t="n">
        <f aca="false">H277*(1-I277)</f>
        <v>700</v>
      </c>
      <c r="M277" s="5" t="str">
        <f aca="false">IF(K277="","",J277/K277)</f>
        <v/>
      </c>
      <c r="N277" s="2" t="n">
        <v>0.26</v>
      </c>
      <c r="O277" s="13" t="n">
        <v>0.00024</v>
      </c>
      <c r="P277" s="2" t="s">
        <v>310</v>
      </c>
      <c r="Q277" s="14" t="n">
        <f aca="false">MAX(N277/DRIVERS!$B$5,O277/DRIVERS!$B$6)</f>
        <v>8.66666666666667E-005</v>
      </c>
      <c r="R277" s="15" t="n">
        <f aca="false">ROUNDDOWN(1/Q277,0)</f>
        <v>11538</v>
      </c>
      <c r="S277" s="5" t="n">
        <f aca="false">DRIVERS!$B$23*Q277/DRIVERS!$B$24</f>
        <v>0.449880238414462</v>
      </c>
      <c r="T277" s="5" t="n">
        <f aca="false">J277*INDEX(DRIVERS!$C$32:$C$42,MATCH(B277,DRIVERS!$A$32:$A$42,0))</f>
        <v>0</v>
      </c>
      <c r="U277" s="5" t="n">
        <f aca="false">J277*INDEX(SUPPLIERS!$E$3:$E$30,MATCH(C277,SUPPLIERS!$A$3:$A$30,0))</f>
        <v>0</v>
      </c>
      <c r="V277" s="5" t="n">
        <v>0</v>
      </c>
      <c r="W277" s="5" t="n">
        <f aca="false">J277+S277+T277+U277+V277</f>
        <v>700.449880238415</v>
      </c>
      <c r="X277" s="9" t="n">
        <f aca="false">W277/J277-1</f>
        <v>0.000642686054877828</v>
      </c>
      <c r="Y277" s="6" t="n">
        <f aca="false">INDEX(DRIVERS!$B$32:$B$42,MATCH(B277,DRIVERS!$A$32:$A$42,0))</f>
        <v>0.3</v>
      </c>
      <c r="Z277" s="5" t="n">
        <f aca="false">W277*(1+Y277)</f>
        <v>910.584844309939</v>
      </c>
      <c r="AA277" s="5" t="n">
        <f aca="false">W277*(1+Y277+DRIVERS!$B$26)*(1+DRIVERS!$B$27)</f>
        <v>1059.08021892048</v>
      </c>
      <c r="AB277" s="2" t="s">
        <v>218</v>
      </c>
      <c r="AC277" s="8"/>
    </row>
    <row r="278" customFormat="false" ht="15" hidden="false" customHeight="false" outlineLevel="0" collapsed="false">
      <c r="A278" s="2" t="s">
        <v>1032</v>
      </c>
      <c r="B278" s="2" t="s">
        <v>891</v>
      </c>
      <c r="C278" s="2" t="s">
        <v>92</v>
      </c>
      <c r="D278" s="2" t="s">
        <v>1033</v>
      </c>
      <c r="E278" s="2" t="s">
        <v>1034</v>
      </c>
      <c r="F278" s="2" t="s">
        <v>186</v>
      </c>
      <c r="G278" s="2" t="s">
        <v>186</v>
      </c>
      <c r="H278" s="5" t="n">
        <v>1200</v>
      </c>
      <c r="I278" s="6" t="n">
        <f aca="false">INDEX(SUPPLIERS!$D$3:$D$30,MATCH(C278,SUPPLIERS!$A$3:$A$30,0))</f>
        <v>0</v>
      </c>
      <c r="J278" s="5" t="n">
        <f aca="false">H278*(1-I278)</f>
        <v>1200</v>
      </c>
      <c r="M278" s="5" t="str">
        <f aca="false">IF(K278="","",J278/K278)</f>
        <v/>
      </c>
      <c r="N278" s="2" t="n">
        <v>0.55</v>
      </c>
      <c r="O278" s="13" t="n">
        <v>0.00051</v>
      </c>
      <c r="P278" s="2" t="s">
        <v>310</v>
      </c>
      <c r="Q278" s="14" t="n">
        <f aca="false">MAX(N278/DRIVERS!$B$5,O278/DRIVERS!$B$6)</f>
        <v>0.000183333333333333</v>
      </c>
      <c r="R278" s="15" t="n">
        <f aca="false">ROUNDDOWN(1/Q278,0)</f>
        <v>5454</v>
      </c>
      <c r="S278" s="5" t="n">
        <f aca="false">DRIVERS!$B$23*Q278/DRIVERS!$B$24</f>
        <v>0.951669735107516</v>
      </c>
      <c r="T278" s="5" t="n">
        <f aca="false">J278*INDEX(DRIVERS!$C$32:$C$42,MATCH(B278,DRIVERS!$A$32:$A$42,0))</f>
        <v>0</v>
      </c>
      <c r="U278" s="5" t="n">
        <f aca="false">J278*INDEX(SUPPLIERS!$E$3:$E$30,MATCH(C278,SUPPLIERS!$A$3:$A$30,0))</f>
        <v>0</v>
      </c>
      <c r="V278" s="5" t="n">
        <v>0</v>
      </c>
      <c r="W278" s="5" t="n">
        <f aca="false">J278+S278+T278+U278+V278</f>
        <v>1200.95166973511</v>
      </c>
      <c r="X278" s="9" t="n">
        <f aca="false">W278/J278-1</f>
        <v>0.000793058112589673</v>
      </c>
      <c r="Y278" s="6" t="n">
        <f aca="false">INDEX(DRIVERS!$B$32:$B$42,MATCH(B278,DRIVERS!$A$32:$A$42,0))</f>
        <v>0.3</v>
      </c>
      <c r="Z278" s="5" t="n">
        <f aca="false">W278*(1+Y278)</f>
        <v>1561.23717065564</v>
      </c>
      <c r="AA278" s="5" t="n">
        <f aca="false">W278*(1+Y278+DRIVERS!$B$26)*(1+DRIVERS!$B$27)</f>
        <v>1815.83892463948</v>
      </c>
      <c r="AB278" s="2" t="s">
        <v>218</v>
      </c>
      <c r="AC278" s="8"/>
    </row>
    <row r="279" customFormat="false" ht="15" hidden="false" customHeight="false" outlineLevel="0" collapsed="false">
      <c r="A279" s="2" t="s">
        <v>1035</v>
      </c>
      <c r="B279" s="2" t="s">
        <v>891</v>
      </c>
      <c r="C279" s="2" t="s">
        <v>92</v>
      </c>
      <c r="D279" s="2" t="s">
        <v>1036</v>
      </c>
      <c r="E279" s="2" t="s">
        <v>1037</v>
      </c>
      <c r="F279" s="2" t="s">
        <v>186</v>
      </c>
      <c r="G279" s="2" t="s">
        <v>186</v>
      </c>
      <c r="H279" s="5" t="n">
        <v>2000</v>
      </c>
      <c r="I279" s="6" t="n">
        <f aca="false">INDEX(SUPPLIERS!$D$3:$D$30,MATCH(C279,SUPPLIERS!$A$3:$A$30,0))</f>
        <v>0</v>
      </c>
      <c r="J279" s="5" t="n">
        <f aca="false">H279*(1-I279)</f>
        <v>2000</v>
      </c>
      <c r="M279" s="5" t="str">
        <f aca="false">IF(K279="","",J279/K279)</f>
        <v/>
      </c>
      <c r="N279" s="2" t="n">
        <v>0.6</v>
      </c>
      <c r="O279" s="13" t="n">
        <v>0.00064</v>
      </c>
      <c r="P279" s="2" t="s">
        <v>310</v>
      </c>
      <c r="Q279" s="14" t="n">
        <f aca="false">MAX(N279/DRIVERS!$B$5,O279/DRIVERS!$B$6)</f>
        <v>0.0002</v>
      </c>
      <c r="R279" s="15" t="n">
        <f aca="false">ROUNDDOWN(1/Q279,0)</f>
        <v>5000</v>
      </c>
      <c r="S279" s="5" t="n">
        <f aca="false">DRIVERS!$B$23*Q279/DRIVERS!$B$24</f>
        <v>1.03818516557184</v>
      </c>
      <c r="T279" s="5" t="n">
        <f aca="false">J279*INDEX(DRIVERS!$C$32:$C$42,MATCH(B279,DRIVERS!$A$32:$A$42,0))</f>
        <v>0</v>
      </c>
      <c r="U279" s="5" t="n">
        <f aca="false">J279*INDEX(SUPPLIERS!$E$3:$E$30,MATCH(C279,SUPPLIERS!$A$3:$A$30,0))</f>
        <v>0</v>
      </c>
      <c r="V279" s="5" t="n">
        <v>0</v>
      </c>
      <c r="W279" s="5" t="n">
        <f aca="false">J279+S279+T279+U279+V279</f>
        <v>2001.03818516557</v>
      </c>
      <c r="X279" s="9" t="n">
        <f aca="false">W279/J279-1</f>
        <v>0.000519092582785818</v>
      </c>
      <c r="Y279" s="6" t="n">
        <f aca="false">INDEX(DRIVERS!$B$32:$B$42,MATCH(B279,DRIVERS!$A$32:$A$42,0))</f>
        <v>0.3</v>
      </c>
      <c r="Z279" s="5" t="n">
        <f aca="false">W279*(1+Y279)</f>
        <v>2601.34964071524</v>
      </c>
      <c r="AA279" s="5" t="n">
        <f aca="false">W279*(1+Y279+DRIVERS!$B$26)*(1+DRIVERS!$B$27)</f>
        <v>3025.56973597035</v>
      </c>
      <c r="AB279" s="2" t="s">
        <v>218</v>
      </c>
      <c r="AC279" s="8"/>
    </row>
    <row r="280" customFormat="false" ht="15" hidden="false" customHeight="false" outlineLevel="0" collapsed="false">
      <c r="A280" s="2" t="s">
        <v>1038</v>
      </c>
      <c r="B280" s="2" t="s">
        <v>891</v>
      </c>
      <c r="C280" s="2" t="s">
        <v>92</v>
      </c>
      <c r="D280" s="2" t="s">
        <v>1039</v>
      </c>
      <c r="E280" s="2" t="s">
        <v>1040</v>
      </c>
      <c r="F280" s="2" t="s">
        <v>186</v>
      </c>
      <c r="G280" s="2" t="s">
        <v>186</v>
      </c>
      <c r="H280" s="5" t="n">
        <v>400</v>
      </c>
      <c r="I280" s="6" t="n">
        <f aca="false">INDEX(SUPPLIERS!$D$3:$D$30,MATCH(C280,SUPPLIERS!$A$3:$A$30,0))</f>
        <v>0</v>
      </c>
      <c r="J280" s="5" t="n">
        <f aca="false">H280*(1-I280)</f>
        <v>400</v>
      </c>
      <c r="M280" s="5" t="str">
        <f aca="false">IF(K280="","",J280/K280)</f>
        <v/>
      </c>
      <c r="N280" s="2" t="n">
        <v>0.1</v>
      </c>
      <c r="O280" s="13" t="n">
        <v>0.0002</v>
      </c>
      <c r="P280" s="2" t="s">
        <v>935</v>
      </c>
      <c r="Q280" s="14" t="n">
        <f aca="false">MAX(N280/DRIVERS!$B$5,O280/DRIVERS!$B$6)</f>
        <v>3.33333333333333E-005</v>
      </c>
      <c r="R280" s="15" t="n">
        <f aca="false">ROUNDDOWN(1/Q280,0)</f>
        <v>30000</v>
      </c>
      <c r="S280" s="5" t="n">
        <f aca="false">DRIVERS!$B$23*Q280/DRIVERS!$B$24</f>
        <v>0.173030860928639</v>
      </c>
      <c r="T280" s="5" t="n">
        <f aca="false">J280*INDEX(DRIVERS!$C$32:$C$42,MATCH(B280,DRIVERS!$A$32:$A$42,0))</f>
        <v>0</v>
      </c>
      <c r="U280" s="5" t="n">
        <f aca="false">J280*INDEX(SUPPLIERS!$E$3:$E$30,MATCH(C280,SUPPLIERS!$A$3:$A$30,0))</f>
        <v>0</v>
      </c>
      <c r="V280" s="5" t="n">
        <v>0</v>
      </c>
      <c r="W280" s="5" t="n">
        <f aca="false">J280+S280+T280+U280+V280</f>
        <v>400.173030860929</v>
      </c>
      <c r="X280" s="9" t="n">
        <f aca="false">W280/J280-1</f>
        <v>0.000432577152321478</v>
      </c>
      <c r="Y280" s="6" t="n">
        <f aca="false">INDEX(DRIVERS!$B$32:$B$42,MATCH(B280,DRIVERS!$A$32:$A$42,0))</f>
        <v>0.3</v>
      </c>
      <c r="Z280" s="5" t="n">
        <f aca="false">W280*(1+Y280)</f>
        <v>520.224940119207</v>
      </c>
      <c r="AA280" s="5" t="n">
        <f aca="false">W280*(1+Y280+DRIVERS!$B$26)*(1+DRIVERS!$B$27)</f>
        <v>605.061622661724</v>
      </c>
      <c r="AB280" s="2" t="s">
        <v>218</v>
      </c>
      <c r="AC280" s="8"/>
    </row>
    <row r="281" customFormat="false" ht="15" hidden="false" customHeight="false" outlineLevel="0" collapsed="false">
      <c r="A281" s="2" t="s">
        <v>1041</v>
      </c>
      <c r="B281" s="2" t="s">
        <v>891</v>
      </c>
      <c r="C281" s="2" t="s">
        <v>92</v>
      </c>
      <c r="D281" s="2" t="s">
        <v>1042</v>
      </c>
      <c r="E281" s="2" t="s">
        <v>938</v>
      </c>
      <c r="F281" s="2" t="s">
        <v>186</v>
      </c>
      <c r="G281" s="2" t="s">
        <v>186</v>
      </c>
      <c r="H281" s="5" t="n">
        <v>1200</v>
      </c>
      <c r="I281" s="6" t="n">
        <f aca="false">INDEX(SUPPLIERS!$D$3:$D$30,MATCH(C281,SUPPLIERS!$A$3:$A$30,0))</f>
        <v>0</v>
      </c>
      <c r="J281" s="5" t="n">
        <f aca="false">H281*(1-I281)</f>
        <v>1200</v>
      </c>
      <c r="M281" s="5" t="str">
        <f aca="false">IF(K281="","",J281/K281)</f>
        <v/>
      </c>
      <c r="N281" s="2" t="n">
        <v>0.8</v>
      </c>
      <c r="O281" s="13" t="n">
        <v>0.00223</v>
      </c>
      <c r="P281" s="2" t="s">
        <v>310</v>
      </c>
      <c r="Q281" s="14" t="n">
        <f aca="false">MAX(N281/DRIVERS!$B$5,O281/DRIVERS!$B$6)</f>
        <v>0.000266666666666667</v>
      </c>
      <c r="R281" s="15" t="n">
        <f aca="false">ROUNDDOWN(1/Q281,0)</f>
        <v>3750</v>
      </c>
      <c r="S281" s="5" t="n">
        <f aca="false">DRIVERS!$B$23*Q281/DRIVERS!$B$24</f>
        <v>1.38424688742911</v>
      </c>
      <c r="T281" s="5" t="n">
        <f aca="false">J281*INDEX(DRIVERS!$C$32:$C$42,MATCH(B281,DRIVERS!$A$32:$A$42,0))</f>
        <v>0</v>
      </c>
      <c r="U281" s="5" t="n">
        <f aca="false">J281*INDEX(SUPPLIERS!$E$3:$E$30,MATCH(C281,SUPPLIERS!$A$3:$A$30,0))</f>
        <v>0</v>
      </c>
      <c r="V281" s="5" t="n">
        <v>0</v>
      </c>
      <c r="W281" s="5" t="n">
        <f aca="false">J281+S281+T281+U281+V281</f>
        <v>1201.38424688743</v>
      </c>
      <c r="X281" s="9" t="n">
        <f aca="false">W281/J281-1</f>
        <v>0.00115353907285765</v>
      </c>
      <c r="Y281" s="6" t="n">
        <f aca="false">INDEX(DRIVERS!$B$32:$B$42,MATCH(B281,DRIVERS!$A$32:$A$42,0))</f>
        <v>0.3</v>
      </c>
      <c r="Z281" s="5" t="n">
        <f aca="false">W281*(1+Y281)</f>
        <v>1561.79952095366</v>
      </c>
      <c r="AA281" s="5" t="n">
        <f aca="false">W281*(1+Y281+DRIVERS!$B$26)*(1+DRIVERS!$B$27)</f>
        <v>1816.49298129379</v>
      </c>
      <c r="AB281" s="2" t="s">
        <v>218</v>
      </c>
      <c r="AC281" s="8"/>
    </row>
    <row r="282" customFormat="false" ht="15" hidden="false" customHeight="false" outlineLevel="0" collapsed="false">
      <c r="A282" s="2" t="s">
        <v>1043</v>
      </c>
      <c r="B282" s="2" t="s">
        <v>891</v>
      </c>
      <c r="C282" s="2" t="s">
        <v>92</v>
      </c>
      <c r="D282" s="2" t="s">
        <v>1044</v>
      </c>
      <c r="E282" s="2" t="s">
        <v>1045</v>
      </c>
      <c r="F282" s="2" t="s">
        <v>186</v>
      </c>
      <c r="G282" s="2" t="s">
        <v>186</v>
      </c>
      <c r="H282" s="5" t="n">
        <v>1000</v>
      </c>
      <c r="I282" s="6" t="n">
        <f aca="false">INDEX(SUPPLIERS!$D$3:$D$30,MATCH(C282,SUPPLIERS!$A$3:$A$30,0))</f>
        <v>0</v>
      </c>
      <c r="J282" s="5" t="n">
        <f aca="false">H282*(1-I282)</f>
        <v>1000</v>
      </c>
      <c r="M282" s="5" t="str">
        <f aca="false">IF(K282="","",J282/K282)</f>
        <v/>
      </c>
      <c r="N282" s="2" t="n">
        <v>0.29</v>
      </c>
      <c r="O282" s="13" t="n">
        <v>0.00024</v>
      </c>
      <c r="P282" s="2" t="s">
        <v>310</v>
      </c>
      <c r="Q282" s="14" t="n">
        <f aca="false">MAX(N282/DRIVERS!$B$5,O282/DRIVERS!$B$6)</f>
        <v>9.66666666666667E-005</v>
      </c>
      <c r="R282" s="15" t="n">
        <f aca="false">ROUNDDOWN(1/Q282,0)</f>
        <v>10344</v>
      </c>
      <c r="S282" s="5" t="n">
        <f aca="false">DRIVERS!$B$23*Q282/DRIVERS!$B$24</f>
        <v>0.501789496693054</v>
      </c>
      <c r="T282" s="5" t="n">
        <f aca="false">J282*INDEX(DRIVERS!$C$32:$C$42,MATCH(B282,DRIVERS!$A$32:$A$42,0))</f>
        <v>0</v>
      </c>
      <c r="U282" s="5" t="n">
        <f aca="false">J282*INDEX(SUPPLIERS!$E$3:$E$30,MATCH(C282,SUPPLIERS!$A$3:$A$30,0))</f>
        <v>0</v>
      </c>
      <c r="V282" s="5" t="n">
        <v>0</v>
      </c>
      <c r="W282" s="5" t="n">
        <f aca="false">J282+S282+T282+U282+V282</f>
        <v>1000.50178949669</v>
      </c>
      <c r="X282" s="9" t="n">
        <f aca="false">W282/J282-1</f>
        <v>0.000501789496692995</v>
      </c>
      <c r="Y282" s="6" t="n">
        <f aca="false">INDEX(DRIVERS!$B$32:$B$42,MATCH(B282,DRIVERS!$A$32:$A$42,0))</f>
        <v>0.3</v>
      </c>
      <c r="Z282" s="5" t="n">
        <f aca="false">W282*(1+Y282)</f>
        <v>1300.6523263457</v>
      </c>
      <c r="AA282" s="5" t="n">
        <f aca="false">W282*(1+Y282+DRIVERS!$B$26)*(1+DRIVERS!$B$27)</f>
        <v>1512.758705719</v>
      </c>
      <c r="AB282" s="2" t="s">
        <v>218</v>
      </c>
      <c r="AC282" s="8"/>
      <c r="AD282" s="2" t="s">
        <v>377</v>
      </c>
    </row>
    <row r="283" customFormat="false" ht="15" hidden="false" customHeight="false" outlineLevel="0" collapsed="false">
      <c r="A283" s="2" t="s">
        <v>1046</v>
      </c>
      <c r="B283" s="2" t="s">
        <v>891</v>
      </c>
      <c r="C283" s="2" t="s">
        <v>92</v>
      </c>
      <c r="D283" s="2" t="s">
        <v>1047</v>
      </c>
      <c r="E283" s="2" t="s">
        <v>1048</v>
      </c>
      <c r="F283" s="2" t="s">
        <v>186</v>
      </c>
      <c r="G283" s="2" t="s">
        <v>186</v>
      </c>
      <c r="H283" s="5" t="n">
        <v>1500</v>
      </c>
      <c r="I283" s="6" t="n">
        <f aca="false">INDEX(SUPPLIERS!$D$3:$D$30,MATCH(C283,SUPPLIERS!$A$3:$A$30,0))</f>
        <v>0</v>
      </c>
      <c r="J283" s="5" t="n">
        <f aca="false">H283*(1-I283)</f>
        <v>1500</v>
      </c>
      <c r="M283" s="5" t="str">
        <f aca="false">IF(K283="","",J283/K283)</f>
        <v/>
      </c>
      <c r="N283" s="2" t="n">
        <v>0.4</v>
      </c>
      <c r="O283" s="13" t="n">
        <v>0.00046</v>
      </c>
      <c r="P283" s="2" t="s">
        <v>310</v>
      </c>
      <c r="Q283" s="14" t="n">
        <f aca="false">MAX(N283/DRIVERS!$B$5,O283/DRIVERS!$B$6)</f>
        <v>0.000133333333333333</v>
      </c>
      <c r="R283" s="15" t="n">
        <f aca="false">ROUNDDOWN(1/Q283,0)</f>
        <v>7500</v>
      </c>
      <c r="S283" s="5" t="n">
        <f aca="false">DRIVERS!$B$23*Q283/DRIVERS!$B$24</f>
        <v>0.692123443714557</v>
      </c>
      <c r="T283" s="5" t="n">
        <f aca="false">J283*INDEX(DRIVERS!$C$32:$C$42,MATCH(B283,DRIVERS!$A$32:$A$42,0))</f>
        <v>0</v>
      </c>
      <c r="U283" s="5" t="n">
        <f aca="false">J283*INDEX(SUPPLIERS!$E$3:$E$30,MATCH(C283,SUPPLIERS!$A$3:$A$30,0))</f>
        <v>0</v>
      </c>
      <c r="V283" s="5" t="n">
        <v>0</v>
      </c>
      <c r="W283" s="5" t="n">
        <f aca="false">J283+S283+T283+U283+V283</f>
        <v>1500.69212344371</v>
      </c>
      <c r="X283" s="9" t="n">
        <f aca="false">W283/J283-1</f>
        <v>0.000461415629142925</v>
      </c>
      <c r="Y283" s="6" t="n">
        <f aca="false">INDEX(DRIVERS!$B$32:$B$42,MATCH(B283,DRIVERS!$A$32:$A$42,0))</f>
        <v>0.3</v>
      </c>
      <c r="Z283" s="5" t="n">
        <f aca="false">W283*(1+Y283)</f>
        <v>1950.89976047683</v>
      </c>
      <c r="AA283" s="5" t="n">
        <f aca="false">W283*(1+Y283+DRIVERS!$B$26)*(1+DRIVERS!$B$27)</f>
        <v>2269.0464906469</v>
      </c>
      <c r="AB283" s="2" t="s">
        <v>218</v>
      </c>
      <c r="AC283" s="8"/>
    </row>
    <row r="284" customFormat="false" ht="15" hidden="false" customHeight="false" outlineLevel="0" collapsed="false">
      <c r="A284" s="2" t="s">
        <v>1049</v>
      </c>
      <c r="B284" s="2" t="s">
        <v>891</v>
      </c>
      <c r="C284" s="2" t="s">
        <v>92</v>
      </c>
      <c r="D284" s="2" t="s">
        <v>1050</v>
      </c>
      <c r="E284" s="2" t="s">
        <v>943</v>
      </c>
      <c r="F284" s="2" t="s">
        <v>186</v>
      </c>
      <c r="G284" s="2" t="s">
        <v>186</v>
      </c>
      <c r="H284" s="5" t="n">
        <v>1500</v>
      </c>
      <c r="I284" s="6" t="n">
        <f aca="false">INDEX(SUPPLIERS!$D$3:$D$30,MATCH(C284,SUPPLIERS!$A$3:$A$30,0))</f>
        <v>0</v>
      </c>
      <c r="J284" s="5" t="n">
        <f aca="false">H284*(1-I284)</f>
        <v>1500</v>
      </c>
      <c r="M284" s="5" t="str">
        <f aca="false">IF(K284="","",J284/K284)</f>
        <v/>
      </c>
      <c r="N284" s="2" t="n">
        <v>0.36</v>
      </c>
      <c r="O284" s="13" t="n">
        <v>0.00027</v>
      </c>
      <c r="P284" s="2" t="s">
        <v>310</v>
      </c>
      <c r="Q284" s="14" t="n">
        <f aca="false">MAX(N284/DRIVERS!$B$5,O284/DRIVERS!$B$6)</f>
        <v>0.00012</v>
      </c>
      <c r="R284" s="15" t="n">
        <f aca="false">ROUNDDOWN(1/Q284,0)</f>
        <v>8333</v>
      </c>
      <c r="S284" s="5" t="n">
        <f aca="false">DRIVERS!$B$23*Q284/DRIVERS!$B$24</f>
        <v>0.622911099343101</v>
      </c>
      <c r="T284" s="5" t="n">
        <f aca="false">J284*INDEX(DRIVERS!$C$32:$C$42,MATCH(B284,DRIVERS!$A$32:$A$42,0))</f>
        <v>0</v>
      </c>
      <c r="U284" s="5" t="n">
        <f aca="false">J284*INDEX(SUPPLIERS!$E$3:$E$30,MATCH(C284,SUPPLIERS!$A$3:$A$30,0))</f>
        <v>0</v>
      </c>
      <c r="V284" s="5" t="n">
        <v>0</v>
      </c>
      <c r="W284" s="5" t="n">
        <f aca="false">J284+S284+T284+U284+V284</f>
        <v>1500.62291109934</v>
      </c>
      <c r="X284" s="9" t="n">
        <f aca="false">W284/J284-1</f>
        <v>0.000415274066228655</v>
      </c>
      <c r="Y284" s="6" t="n">
        <f aca="false">INDEX(DRIVERS!$B$32:$B$42,MATCH(B284,DRIVERS!$A$32:$A$42,0))</f>
        <v>0.3</v>
      </c>
      <c r="Z284" s="5" t="n">
        <f aca="false">W284*(1+Y284)</f>
        <v>1950.80978442915</v>
      </c>
      <c r="AA284" s="5" t="n">
        <f aca="false">W284*(1+Y284+DRIVERS!$B$26)*(1+DRIVERS!$B$27)</f>
        <v>2268.94184158221</v>
      </c>
      <c r="AB284" s="2" t="s">
        <v>218</v>
      </c>
      <c r="AC284" s="8"/>
    </row>
    <row r="285" customFormat="false" ht="15" hidden="false" customHeight="false" outlineLevel="0" collapsed="false">
      <c r="A285" s="2" t="s">
        <v>1051</v>
      </c>
      <c r="B285" s="2" t="s">
        <v>891</v>
      </c>
      <c r="C285" s="2" t="s">
        <v>92</v>
      </c>
      <c r="D285" s="2" t="s">
        <v>1052</v>
      </c>
      <c r="E285" s="2" t="s">
        <v>946</v>
      </c>
      <c r="F285" s="2" t="s">
        <v>186</v>
      </c>
      <c r="G285" s="2" t="s">
        <v>186</v>
      </c>
      <c r="H285" s="5" t="n">
        <v>2200</v>
      </c>
      <c r="I285" s="6" t="n">
        <f aca="false">INDEX(SUPPLIERS!$D$3:$D$30,MATCH(C285,SUPPLIERS!$A$3:$A$30,0))</f>
        <v>0</v>
      </c>
      <c r="J285" s="5" t="n">
        <f aca="false">H285*(1-I285)</f>
        <v>2200</v>
      </c>
      <c r="M285" s="5" t="str">
        <f aca="false">IF(K285="","",J285/K285)</f>
        <v/>
      </c>
      <c r="N285" s="2" t="n">
        <v>0.43</v>
      </c>
      <c r="O285" s="13" t="n">
        <v>0.00043</v>
      </c>
      <c r="P285" s="2" t="s">
        <v>310</v>
      </c>
      <c r="Q285" s="14" t="n">
        <f aca="false">MAX(N285/DRIVERS!$B$5,O285/DRIVERS!$B$6)</f>
        <v>0.000143333333333333</v>
      </c>
      <c r="R285" s="15" t="n">
        <f aca="false">ROUNDDOWN(1/Q285,0)</f>
        <v>6976</v>
      </c>
      <c r="S285" s="5" t="n">
        <f aca="false">DRIVERS!$B$23*Q285/DRIVERS!$B$24</f>
        <v>0.744032701993149</v>
      </c>
      <c r="T285" s="5" t="n">
        <f aca="false">J285*INDEX(DRIVERS!$C$32:$C$42,MATCH(B285,DRIVERS!$A$32:$A$42,0))</f>
        <v>0</v>
      </c>
      <c r="U285" s="5" t="n">
        <f aca="false">J285*INDEX(SUPPLIERS!$E$3:$E$30,MATCH(C285,SUPPLIERS!$A$3:$A$30,0))</f>
        <v>0</v>
      </c>
      <c r="V285" s="5" t="n">
        <v>0</v>
      </c>
      <c r="W285" s="5" t="n">
        <f aca="false">J285+S285+T285+U285+V285</f>
        <v>2200.74403270199</v>
      </c>
      <c r="X285" s="9" t="n">
        <f aca="false">W285/J285-1</f>
        <v>0.000338196682724057</v>
      </c>
      <c r="Y285" s="6" t="n">
        <f aca="false">INDEX(DRIVERS!$B$32:$B$42,MATCH(B285,DRIVERS!$A$32:$A$42,0))</f>
        <v>0.3</v>
      </c>
      <c r="Z285" s="5" t="n">
        <f aca="false">W285*(1+Y285)</f>
        <v>2860.96724251259</v>
      </c>
      <c r="AA285" s="5" t="n">
        <f aca="false">W285*(1+Y285+DRIVERS!$B$26)*(1+DRIVERS!$B$27)</f>
        <v>3327.52497744541</v>
      </c>
      <c r="AB285" s="2" t="s">
        <v>218</v>
      </c>
      <c r="AC285" s="8"/>
    </row>
    <row r="286" customFormat="false" ht="15" hidden="false" customHeight="false" outlineLevel="0" collapsed="false">
      <c r="A286" s="2" t="s">
        <v>1053</v>
      </c>
      <c r="B286" s="2" t="s">
        <v>891</v>
      </c>
      <c r="C286" s="2" t="s">
        <v>92</v>
      </c>
      <c r="D286" s="2" t="s">
        <v>1054</v>
      </c>
      <c r="E286" s="2" t="s">
        <v>1055</v>
      </c>
      <c r="F286" s="2" t="s">
        <v>186</v>
      </c>
      <c r="G286" s="2" t="s">
        <v>186</v>
      </c>
      <c r="H286" s="5" t="n">
        <v>7500</v>
      </c>
      <c r="I286" s="6" t="n">
        <f aca="false">INDEX(SUPPLIERS!$D$3:$D$30,MATCH(C286,SUPPLIERS!$A$3:$A$30,0))</f>
        <v>0</v>
      </c>
      <c r="J286" s="5" t="n">
        <f aca="false">H286*(1-I286)</f>
        <v>7500</v>
      </c>
      <c r="M286" s="5" t="str">
        <f aca="false">IF(K286="","",J286/K286)</f>
        <v/>
      </c>
      <c r="N286" s="2" t="n">
        <v>4.5</v>
      </c>
      <c r="O286" s="13" t="n">
        <v>0.02016</v>
      </c>
      <c r="P286" s="2" t="s">
        <v>310</v>
      </c>
      <c r="Q286" s="14" t="n">
        <f aca="false">MAX(N286/DRIVERS!$B$5,O286/DRIVERS!$B$6)</f>
        <v>0.0015</v>
      </c>
      <c r="R286" s="15" t="n">
        <f aca="false">ROUNDDOWN(1/Q286,0)</f>
        <v>666</v>
      </c>
      <c r="S286" s="5" t="n">
        <f aca="false">DRIVERS!$B$23*Q286/DRIVERS!$B$24</f>
        <v>7.78638874178877</v>
      </c>
      <c r="T286" s="5" t="n">
        <f aca="false">J286*INDEX(DRIVERS!$C$32:$C$42,MATCH(B286,DRIVERS!$A$32:$A$42,0))</f>
        <v>0</v>
      </c>
      <c r="U286" s="5" t="n">
        <f aca="false">J286*INDEX(SUPPLIERS!$E$3:$E$30,MATCH(C286,SUPPLIERS!$A$3:$A$30,0))</f>
        <v>0</v>
      </c>
      <c r="V286" s="5" t="n">
        <v>0</v>
      </c>
      <c r="W286" s="5" t="n">
        <f aca="false">J286+S286+T286+U286+V286</f>
        <v>7507.78638874179</v>
      </c>
      <c r="X286" s="9" t="n">
        <f aca="false">W286/J286-1</f>
        <v>0.00103818516557186</v>
      </c>
      <c r="Y286" s="6" t="n">
        <f aca="false">INDEX(DRIVERS!$B$32:$B$42,MATCH(B286,DRIVERS!$A$32:$A$42,0))</f>
        <v>0.3</v>
      </c>
      <c r="Z286" s="5" t="n">
        <f aca="false">W286*(1+Y286)</f>
        <v>9760.12230536433</v>
      </c>
      <c r="AA286" s="5" t="n">
        <f aca="false">W286*(1+Y286+DRIVERS!$B$26)*(1+DRIVERS!$B$27)</f>
        <v>11351.7730197776</v>
      </c>
      <c r="AB286" s="2" t="s">
        <v>218</v>
      </c>
      <c r="AC286" s="8"/>
    </row>
    <row r="287" customFormat="false" ht="15" hidden="false" customHeight="false" outlineLevel="0" collapsed="false">
      <c r="A287" s="2" t="s">
        <v>1056</v>
      </c>
      <c r="B287" s="2" t="s">
        <v>891</v>
      </c>
      <c r="C287" s="2" t="s">
        <v>92</v>
      </c>
      <c r="D287" s="2" t="s">
        <v>1057</v>
      </c>
      <c r="E287" s="2" t="s">
        <v>1058</v>
      </c>
      <c r="F287" s="2" t="s">
        <v>186</v>
      </c>
      <c r="G287" s="2" t="s">
        <v>186</v>
      </c>
      <c r="H287" s="5" t="n">
        <v>11000</v>
      </c>
      <c r="I287" s="6" t="n">
        <f aca="false">INDEX(SUPPLIERS!$D$3:$D$30,MATCH(C287,SUPPLIERS!$A$3:$A$30,0))</f>
        <v>0</v>
      </c>
      <c r="J287" s="5" t="n">
        <f aca="false">H287*(1-I287)</f>
        <v>11000</v>
      </c>
      <c r="M287" s="5" t="str">
        <f aca="false">IF(K287="","",J287/K287)</f>
        <v/>
      </c>
      <c r="N287" s="2" t="n">
        <v>4.6</v>
      </c>
      <c r="O287" s="13" t="n">
        <v>0.01997</v>
      </c>
      <c r="P287" s="2" t="s">
        <v>310</v>
      </c>
      <c r="Q287" s="14" t="n">
        <f aca="false">MAX(N287/DRIVERS!$B$5,O287/DRIVERS!$B$6)</f>
        <v>0.00153333333333333</v>
      </c>
      <c r="R287" s="15" t="n">
        <f aca="false">ROUNDDOWN(1/Q287,0)</f>
        <v>652</v>
      </c>
      <c r="S287" s="5" t="n">
        <f aca="false">DRIVERS!$B$23*Q287/DRIVERS!$B$24</f>
        <v>7.95941960271741</v>
      </c>
      <c r="T287" s="5" t="n">
        <f aca="false">J287*INDEX(DRIVERS!$C$32:$C$42,MATCH(B287,DRIVERS!$A$32:$A$42,0))</f>
        <v>0</v>
      </c>
      <c r="U287" s="5" t="n">
        <f aca="false">J287*INDEX(SUPPLIERS!$E$3:$E$30,MATCH(C287,SUPPLIERS!$A$3:$A$30,0))</f>
        <v>0</v>
      </c>
      <c r="V287" s="5" t="n">
        <v>0</v>
      </c>
      <c r="W287" s="5" t="n">
        <f aca="false">J287+S287+T287+U287+V287</f>
        <v>11007.9594196027</v>
      </c>
      <c r="X287" s="9" t="n">
        <f aca="false">W287/J287-1</f>
        <v>0.000723583600247046</v>
      </c>
      <c r="Y287" s="6" t="n">
        <f aca="false">INDEX(DRIVERS!$B$32:$B$42,MATCH(B287,DRIVERS!$A$32:$A$42,0))</f>
        <v>0.3</v>
      </c>
      <c r="Z287" s="5" t="n">
        <f aca="false">W287*(1+Y287)</f>
        <v>14310.3472454835</v>
      </c>
      <c r="AA287" s="5" t="n">
        <f aca="false">W287*(1+Y287+DRIVERS!$B$26)*(1+DRIVERS!$B$27)</f>
        <v>16644.0346424393</v>
      </c>
      <c r="AB287" s="2" t="s">
        <v>218</v>
      </c>
      <c r="AC287" s="8"/>
    </row>
    <row r="288" customFormat="false" ht="15" hidden="false" customHeight="false" outlineLevel="0" collapsed="false">
      <c r="A288" s="2" t="s">
        <v>1059</v>
      </c>
      <c r="B288" s="2" t="s">
        <v>891</v>
      </c>
      <c r="C288" s="2" t="s">
        <v>92</v>
      </c>
      <c r="D288" s="2" t="s">
        <v>1060</v>
      </c>
      <c r="E288" s="2" t="s">
        <v>1058</v>
      </c>
      <c r="F288" s="2" t="s">
        <v>186</v>
      </c>
      <c r="G288" s="2" t="s">
        <v>186</v>
      </c>
      <c r="H288" s="5" t="n">
        <v>15000</v>
      </c>
      <c r="I288" s="6" t="n">
        <f aca="false">INDEX(SUPPLIERS!$D$3:$D$30,MATCH(C288,SUPPLIERS!$A$3:$A$30,0))</f>
        <v>0</v>
      </c>
      <c r="J288" s="5" t="n">
        <f aca="false">H288*(1-I288)</f>
        <v>15000</v>
      </c>
      <c r="M288" s="5" t="str">
        <f aca="false">IF(K288="","",J288/K288)</f>
        <v/>
      </c>
      <c r="N288" s="2" t="n">
        <v>5.8</v>
      </c>
      <c r="O288" s="13" t="n">
        <v>0.02706</v>
      </c>
      <c r="P288" s="2" t="s">
        <v>310</v>
      </c>
      <c r="Q288" s="14" t="n">
        <f aca="false">MAX(N288/DRIVERS!$B$5,O288/DRIVERS!$B$6)</f>
        <v>0.00193333333333333</v>
      </c>
      <c r="R288" s="15" t="n">
        <f aca="false">ROUNDDOWN(1/Q288,0)</f>
        <v>517</v>
      </c>
      <c r="S288" s="5" t="n">
        <f aca="false">DRIVERS!$B$23*Q288/DRIVERS!$B$24</f>
        <v>10.0357899338611</v>
      </c>
      <c r="T288" s="5" t="n">
        <f aca="false">J288*INDEX(DRIVERS!$C$32:$C$42,MATCH(B288,DRIVERS!$A$32:$A$42,0))</f>
        <v>0</v>
      </c>
      <c r="U288" s="5" t="n">
        <f aca="false">J288*INDEX(SUPPLIERS!$E$3:$E$30,MATCH(C288,SUPPLIERS!$A$3:$A$30,0))</f>
        <v>0</v>
      </c>
      <c r="V288" s="5" t="n">
        <v>0</v>
      </c>
      <c r="W288" s="5" t="n">
        <f aca="false">J288+S288+T288+U288+V288</f>
        <v>15010.0357899339</v>
      </c>
      <c r="X288" s="9" t="n">
        <f aca="false">W288/J288-1</f>
        <v>0.000669052662257474</v>
      </c>
      <c r="Y288" s="6" t="n">
        <f aca="false">INDEX(DRIVERS!$B$32:$B$42,MATCH(B288,DRIVERS!$A$32:$A$42,0))</f>
        <v>0.3</v>
      </c>
      <c r="Z288" s="5" t="n">
        <f aca="false">W288*(1+Y288)</f>
        <v>19513.046526914</v>
      </c>
      <c r="AA288" s="5" t="n">
        <f aca="false">W288*(1+Y288+DRIVERS!$B$26)*(1+DRIVERS!$B$27)</f>
        <v>22695.17411438</v>
      </c>
      <c r="AB288" s="2" t="s">
        <v>218</v>
      </c>
      <c r="AC288" s="8"/>
    </row>
    <row r="289" customFormat="false" ht="15" hidden="false" customHeight="false" outlineLevel="0" collapsed="false">
      <c r="A289" s="2" t="s">
        <v>1061</v>
      </c>
      <c r="B289" s="2" t="s">
        <v>891</v>
      </c>
      <c r="C289" s="2" t="s">
        <v>92</v>
      </c>
      <c r="D289" s="2" t="s">
        <v>1062</v>
      </c>
      <c r="E289" s="2" t="s">
        <v>1058</v>
      </c>
      <c r="F289" s="2" t="s">
        <v>186</v>
      </c>
      <c r="G289" s="2" t="s">
        <v>186</v>
      </c>
      <c r="H289" s="5" t="n">
        <v>20000</v>
      </c>
      <c r="I289" s="6" t="n">
        <f aca="false">INDEX(SUPPLIERS!$D$3:$D$30,MATCH(C289,SUPPLIERS!$A$3:$A$30,0))</f>
        <v>0</v>
      </c>
      <c r="J289" s="5" t="n">
        <f aca="false">H289*(1-I289)</f>
        <v>20000</v>
      </c>
      <c r="M289" s="5" t="str">
        <f aca="false">IF(K289="","",J289/K289)</f>
        <v/>
      </c>
      <c r="N289" s="2" t="n">
        <v>6.8</v>
      </c>
      <c r="O289" s="13" t="n">
        <v>0.03344</v>
      </c>
      <c r="P289" s="2" t="s">
        <v>310</v>
      </c>
      <c r="Q289" s="14" t="n">
        <f aca="false">MAX(N289/DRIVERS!$B$5,O289/DRIVERS!$B$6)</f>
        <v>0.00234269750464767</v>
      </c>
      <c r="R289" s="15" t="n">
        <f aca="false">ROUNDDOWN(1/Q289,0)</f>
        <v>426</v>
      </c>
      <c r="S289" s="5" t="n">
        <f aca="false">DRIVERS!$B$23*Q289/DRIVERS!$B$24</f>
        <v>12.1607689837368</v>
      </c>
      <c r="T289" s="5" t="n">
        <f aca="false">J289*INDEX(DRIVERS!$C$32:$C$42,MATCH(B289,DRIVERS!$A$32:$A$42,0))</f>
        <v>0</v>
      </c>
      <c r="U289" s="5" t="n">
        <f aca="false">J289*INDEX(SUPPLIERS!$E$3:$E$30,MATCH(C289,SUPPLIERS!$A$3:$A$30,0))</f>
        <v>0</v>
      </c>
      <c r="V289" s="5" t="n">
        <v>0</v>
      </c>
      <c r="W289" s="5" t="n">
        <f aca="false">J289+S289+T289+U289+V289</f>
        <v>20012.1607689837</v>
      </c>
      <c r="X289" s="9" t="n">
        <f aca="false">W289/J289-1</f>
        <v>0.000608038449186887</v>
      </c>
      <c r="Y289" s="6" t="n">
        <f aca="false">INDEX(DRIVERS!$B$32:$B$42,MATCH(B289,DRIVERS!$A$32:$A$42,0))</f>
        <v>0.3</v>
      </c>
      <c r="Z289" s="5" t="n">
        <f aca="false">W289*(1+Y289)</f>
        <v>26015.8089996789</v>
      </c>
      <c r="AA289" s="5" t="n">
        <f aca="false">W289*(1+Y289+DRIVERS!$B$26)*(1+DRIVERS!$B$27)</f>
        <v>30258.3870827034</v>
      </c>
      <c r="AB289" s="2" t="s">
        <v>218</v>
      </c>
      <c r="AC289" s="8"/>
    </row>
    <row r="290" customFormat="false" ht="15" hidden="false" customHeight="false" outlineLevel="0" collapsed="false">
      <c r="A290" s="2" t="s">
        <v>1063</v>
      </c>
      <c r="B290" s="2" t="s">
        <v>891</v>
      </c>
      <c r="C290" s="2" t="s">
        <v>92</v>
      </c>
      <c r="D290" s="2" t="s">
        <v>1064</v>
      </c>
      <c r="E290" s="2" t="s">
        <v>1058</v>
      </c>
      <c r="F290" s="2" t="s">
        <v>186</v>
      </c>
      <c r="G290" s="2" t="s">
        <v>186</v>
      </c>
      <c r="H290" s="5" t="n">
        <v>23000</v>
      </c>
      <c r="I290" s="6" t="n">
        <f aca="false">INDEX(SUPPLIERS!$D$3:$D$30,MATCH(C290,SUPPLIERS!$A$3:$A$30,0))</f>
        <v>0</v>
      </c>
      <c r="J290" s="5" t="n">
        <f aca="false">H290*(1-I290)</f>
        <v>23000</v>
      </c>
      <c r="M290" s="5" t="str">
        <f aca="false">IF(K290="","",J290/K290)</f>
        <v/>
      </c>
      <c r="N290" s="2" t="n">
        <v>7.5</v>
      </c>
      <c r="O290" s="13" t="n">
        <v>0.038</v>
      </c>
      <c r="P290" s="2" t="s">
        <v>310</v>
      </c>
      <c r="Q290" s="14" t="n">
        <f aca="false">MAX(N290/DRIVERS!$B$5,O290/DRIVERS!$B$6)</f>
        <v>0.00266215625528144</v>
      </c>
      <c r="R290" s="15" t="n">
        <f aca="false">ROUNDDOWN(1/Q290,0)</f>
        <v>375</v>
      </c>
      <c r="S290" s="5" t="n">
        <f aca="false">DRIVERS!$B$23*Q290/DRIVERS!$B$24</f>
        <v>13.8190556633373</v>
      </c>
      <c r="T290" s="5" t="n">
        <f aca="false">J290*INDEX(DRIVERS!$C$32:$C$42,MATCH(B290,DRIVERS!$A$32:$A$42,0))</f>
        <v>0</v>
      </c>
      <c r="U290" s="5" t="n">
        <f aca="false">J290*INDEX(SUPPLIERS!$E$3:$E$30,MATCH(C290,SUPPLIERS!$A$3:$A$30,0))</f>
        <v>0</v>
      </c>
      <c r="V290" s="5" t="n">
        <v>0</v>
      </c>
      <c r="W290" s="5" t="n">
        <f aca="false">J290+S290+T290+U290+V290</f>
        <v>23013.8190556633</v>
      </c>
      <c r="X290" s="9" t="n">
        <f aca="false">W290/J290-1</f>
        <v>0.000600828507101747</v>
      </c>
      <c r="Y290" s="6" t="n">
        <f aca="false">INDEX(DRIVERS!$B$32:$B$42,MATCH(B290,DRIVERS!$A$32:$A$42,0))</f>
        <v>0.3</v>
      </c>
      <c r="Z290" s="5" t="n">
        <f aca="false">W290*(1+Y290)</f>
        <v>29917.9647723623</v>
      </c>
      <c r="AA290" s="5" t="n">
        <f aca="false">W290*(1+Y290+DRIVERS!$B$26)*(1+DRIVERS!$B$27)</f>
        <v>34796.894412163</v>
      </c>
      <c r="AB290" s="2" t="s">
        <v>218</v>
      </c>
      <c r="AC290" s="8"/>
    </row>
    <row r="291" customFormat="false" ht="15" hidden="false" customHeight="false" outlineLevel="0" collapsed="false">
      <c r="A291" s="2" t="s">
        <v>1065</v>
      </c>
      <c r="B291" s="2" t="s">
        <v>891</v>
      </c>
      <c r="C291" s="2" t="s">
        <v>92</v>
      </c>
      <c r="D291" s="2" t="s">
        <v>1066</v>
      </c>
      <c r="E291" s="2" t="s">
        <v>1067</v>
      </c>
      <c r="F291" s="2" t="s">
        <v>186</v>
      </c>
      <c r="G291" s="2" t="s">
        <v>186</v>
      </c>
      <c r="H291" s="5" t="n">
        <v>400</v>
      </c>
      <c r="I291" s="6" t="n">
        <f aca="false">INDEX(SUPPLIERS!$D$3:$D$30,MATCH(C291,SUPPLIERS!$A$3:$A$30,0))</f>
        <v>0</v>
      </c>
      <c r="J291" s="5" t="n">
        <f aca="false">H291*(1-I291)</f>
        <v>400</v>
      </c>
      <c r="M291" s="5" t="str">
        <f aca="false">IF(K291="","",J291/K291)</f>
        <v/>
      </c>
      <c r="N291" s="2" t="n">
        <v>0.28</v>
      </c>
      <c r="O291" s="13" t="n">
        <v>0.00028</v>
      </c>
      <c r="P291" s="2" t="s">
        <v>310</v>
      </c>
      <c r="Q291" s="14" t="n">
        <f aca="false">MAX(N291/DRIVERS!$B$5,O291/DRIVERS!$B$6)</f>
        <v>9.33333333333333E-005</v>
      </c>
      <c r="R291" s="15" t="n">
        <f aca="false">ROUNDDOWN(1/Q291,0)</f>
        <v>10714</v>
      </c>
      <c r="S291" s="5" t="n">
        <f aca="false">DRIVERS!$B$23*Q291/DRIVERS!$B$24</f>
        <v>0.48448641060019</v>
      </c>
      <c r="T291" s="5" t="n">
        <f aca="false">J291*INDEX(DRIVERS!$C$32:$C$42,MATCH(B291,DRIVERS!$A$32:$A$42,0))</f>
        <v>0</v>
      </c>
      <c r="U291" s="5" t="n">
        <f aca="false">J291*INDEX(SUPPLIERS!$E$3:$E$30,MATCH(C291,SUPPLIERS!$A$3:$A$30,0))</f>
        <v>0</v>
      </c>
      <c r="V291" s="5" t="n">
        <v>0</v>
      </c>
      <c r="W291" s="5" t="n">
        <f aca="false">J291+S291+T291+U291+V291</f>
        <v>400.4844864106</v>
      </c>
      <c r="X291" s="9" t="n">
        <f aca="false">W291/J291-1</f>
        <v>0.00121121602650054</v>
      </c>
      <c r="Y291" s="6" t="n">
        <f aca="false">INDEX(DRIVERS!$B$32:$B$42,MATCH(B291,DRIVERS!$A$32:$A$42,0))</f>
        <v>0.3</v>
      </c>
      <c r="Z291" s="5" t="n">
        <f aca="false">W291*(1+Y291)</f>
        <v>520.62983233378</v>
      </c>
      <c r="AA291" s="5" t="n">
        <f aca="false">W291*(1+Y291+DRIVERS!$B$26)*(1+DRIVERS!$B$27)</f>
        <v>605.532543452828</v>
      </c>
      <c r="AB291" s="2" t="s">
        <v>218</v>
      </c>
      <c r="AC291" s="8"/>
    </row>
    <row r="292" customFormat="false" ht="15" hidden="false" customHeight="false" outlineLevel="0" collapsed="false">
      <c r="A292" s="2" t="s">
        <v>1068</v>
      </c>
      <c r="B292" s="2" t="s">
        <v>891</v>
      </c>
      <c r="C292" s="2" t="s">
        <v>92</v>
      </c>
      <c r="D292" s="2" t="s">
        <v>1069</v>
      </c>
      <c r="E292" s="2" t="s">
        <v>1070</v>
      </c>
      <c r="F292" s="2" t="s">
        <v>186</v>
      </c>
      <c r="G292" s="2" t="s">
        <v>186</v>
      </c>
      <c r="H292" s="5" t="n">
        <v>800</v>
      </c>
      <c r="I292" s="6" t="n">
        <f aca="false">INDEX(SUPPLIERS!$D$3:$D$30,MATCH(C292,SUPPLIERS!$A$3:$A$30,0))</f>
        <v>0</v>
      </c>
      <c r="J292" s="5" t="n">
        <f aca="false">H292*(1-I292)</f>
        <v>800</v>
      </c>
      <c r="M292" s="5" t="str">
        <f aca="false">IF(K292="","",J292/K292)</f>
        <v/>
      </c>
      <c r="N292" s="2" t="n">
        <v>0.55</v>
      </c>
      <c r="O292" s="13" t="n">
        <v>0.00054</v>
      </c>
      <c r="P292" s="2" t="s">
        <v>310</v>
      </c>
      <c r="Q292" s="14" t="n">
        <f aca="false">MAX(N292/DRIVERS!$B$5,O292/DRIVERS!$B$6)</f>
        <v>0.000183333333333333</v>
      </c>
      <c r="R292" s="15" t="n">
        <f aca="false">ROUNDDOWN(1/Q292,0)</f>
        <v>5454</v>
      </c>
      <c r="S292" s="5" t="n">
        <f aca="false">DRIVERS!$B$23*Q292/DRIVERS!$B$24</f>
        <v>0.951669735107516</v>
      </c>
      <c r="T292" s="5" t="n">
        <f aca="false">J292*INDEX(DRIVERS!$C$32:$C$42,MATCH(B292,DRIVERS!$A$32:$A$42,0))</f>
        <v>0</v>
      </c>
      <c r="U292" s="5" t="n">
        <f aca="false">J292*INDEX(SUPPLIERS!$E$3:$E$30,MATCH(C292,SUPPLIERS!$A$3:$A$30,0))</f>
        <v>0</v>
      </c>
      <c r="V292" s="5" t="n">
        <v>0</v>
      </c>
      <c r="W292" s="5" t="n">
        <f aca="false">J292+S292+T292+U292+V292</f>
        <v>800.951669735108</v>
      </c>
      <c r="X292" s="9" t="n">
        <f aca="false">W292/J292-1</f>
        <v>0.00118958716888451</v>
      </c>
      <c r="Y292" s="6" t="n">
        <f aca="false">INDEX(DRIVERS!$B$32:$B$42,MATCH(B292,DRIVERS!$A$32:$A$42,0))</f>
        <v>0.3</v>
      </c>
      <c r="Z292" s="5" t="n">
        <f aca="false">W292*(1+Y292)</f>
        <v>1041.23717065564</v>
      </c>
      <c r="AA292" s="5" t="n">
        <f aca="false">W292*(1+Y292+DRIVERS!$B$26)*(1+DRIVERS!$B$27)</f>
        <v>1211.03892463948</v>
      </c>
      <c r="AB292" s="2" t="s">
        <v>218</v>
      </c>
      <c r="AC292" s="8"/>
    </row>
    <row r="293" customFormat="false" ht="15" hidden="false" customHeight="false" outlineLevel="0" collapsed="false">
      <c r="A293" s="2" t="s">
        <v>1071</v>
      </c>
      <c r="B293" s="2" t="s">
        <v>891</v>
      </c>
      <c r="C293" s="2" t="s">
        <v>92</v>
      </c>
      <c r="D293" s="2" t="s">
        <v>1072</v>
      </c>
      <c r="E293" s="2" t="s">
        <v>1073</v>
      </c>
      <c r="F293" s="2" t="s">
        <v>186</v>
      </c>
      <c r="G293" s="2" t="s">
        <v>186</v>
      </c>
      <c r="H293" s="5" t="n">
        <v>1500</v>
      </c>
      <c r="I293" s="6" t="n">
        <f aca="false">INDEX(SUPPLIERS!$D$3:$D$30,MATCH(C293,SUPPLIERS!$A$3:$A$30,0))</f>
        <v>0</v>
      </c>
      <c r="J293" s="5" t="n">
        <f aca="false">H293*(1-I293)</f>
        <v>1500</v>
      </c>
      <c r="M293" s="5" t="str">
        <f aca="false">IF(K293="","",J293/K293)</f>
        <v/>
      </c>
      <c r="N293" s="2" t="n">
        <v>1.5</v>
      </c>
      <c r="O293" s="13" t="n">
        <v>0.00243</v>
      </c>
      <c r="P293" s="2" t="s">
        <v>310</v>
      </c>
      <c r="Q293" s="14" t="n">
        <f aca="false">MAX(N293/DRIVERS!$B$5,O293/DRIVERS!$B$6)</f>
        <v>0.0005</v>
      </c>
      <c r="R293" s="15" t="n">
        <f aca="false">ROUNDDOWN(1/Q293,0)</f>
        <v>2000</v>
      </c>
      <c r="S293" s="5" t="n">
        <f aca="false">DRIVERS!$B$23*Q293/DRIVERS!$B$24</f>
        <v>2.59546291392959</v>
      </c>
      <c r="T293" s="5" t="n">
        <f aca="false">J293*INDEX(DRIVERS!$C$32:$C$42,MATCH(B293,DRIVERS!$A$32:$A$42,0))</f>
        <v>0</v>
      </c>
      <c r="U293" s="5" t="n">
        <f aca="false">J293*INDEX(SUPPLIERS!$E$3:$E$30,MATCH(C293,SUPPLIERS!$A$3:$A$30,0))</f>
        <v>0</v>
      </c>
      <c r="V293" s="5" t="n">
        <v>0</v>
      </c>
      <c r="W293" s="5" t="n">
        <f aca="false">J293+S293+T293+U293+V293</f>
        <v>1502.59546291393</v>
      </c>
      <c r="X293" s="9" t="n">
        <f aca="false">W293/J293-1</f>
        <v>0.00173030860928636</v>
      </c>
      <c r="Y293" s="6" t="n">
        <f aca="false">INDEX(DRIVERS!$B$32:$B$42,MATCH(B293,DRIVERS!$A$32:$A$42,0))</f>
        <v>0.3</v>
      </c>
      <c r="Z293" s="5" t="n">
        <f aca="false">W293*(1+Y293)</f>
        <v>1953.37410178811</v>
      </c>
      <c r="AA293" s="5" t="n">
        <f aca="false">W293*(1+Y293+DRIVERS!$B$26)*(1+DRIVERS!$B$27)</f>
        <v>2271.92433992586</v>
      </c>
      <c r="AB293" s="2" t="s">
        <v>218</v>
      </c>
      <c r="AC293" s="8"/>
      <c r="AD293" s="2" t="s">
        <v>377</v>
      </c>
    </row>
    <row r="294" customFormat="false" ht="15" hidden="false" customHeight="false" outlineLevel="0" collapsed="false">
      <c r="A294" s="2" t="s">
        <v>1074</v>
      </c>
      <c r="B294" s="2" t="s">
        <v>891</v>
      </c>
      <c r="C294" s="2" t="s">
        <v>92</v>
      </c>
      <c r="D294" s="2" t="s">
        <v>1075</v>
      </c>
      <c r="E294" s="2" t="s">
        <v>1076</v>
      </c>
      <c r="F294" s="2" t="s">
        <v>186</v>
      </c>
      <c r="G294" s="2" t="s">
        <v>186</v>
      </c>
      <c r="H294" s="5" t="n">
        <v>1500</v>
      </c>
      <c r="I294" s="6" t="n">
        <f aca="false">INDEX(SUPPLIERS!$D$3:$D$30,MATCH(C294,SUPPLIERS!$A$3:$A$30,0))</f>
        <v>0</v>
      </c>
      <c r="J294" s="5" t="n">
        <f aca="false">H294*(1-I294)</f>
        <v>1500</v>
      </c>
      <c r="M294" s="5" t="str">
        <f aca="false">IF(K294="","",J294/K294)</f>
        <v/>
      </c>
      <c r="N294" s="2" t="n">
        <v>0.42</v>
      </c>
      <c r="O294" s="13" t="n">
        <v>0.00037</v>
      </c>
      <c r="P294" s="2" t="s">
        <v>310</v>
      </c>
      <c r="Q294" s="14" t="n">
        <f aca="false">MAX(N294/DRIVERS!$B$5,O294/DRIVERS!$B$6)</f>
        <v>0.00014</v>
      </c>
      <c r="R294" s="15" t="n">
        <f aca="false">ROUNDDOWN(1/Q294,0)</f>
        <v>7142</v>
      </c>
      <c r="S294" s="5" t="n">
        <f aca="false">DRIVERS!$B$23*Q294/DRIVERS!$B$24</f>
        <v>0.726729615900285</v>
      </c>
      <c r="T294" s="5" t="n">
        <f aca="false">J294*INDEX(DRIVERS!$C$32:$C$42,MATCH(B294,DRIVERS!$A$32:$A$42,0))</f>
        <v>0</v>
      </c>
      <c r="U294" s="5" t="n">
        <f aca="false">J294*INDEX(SUPPLIERS!$E$3:$E$30,MATCH(C294,SUPPLIERS!$A$3:$A$30,0))</f>
        <v>0</v>
      </c>
      <c r="V294" s="5" t="n">
        <v>0</v>
      </c>
      <c r="W294" s="5" t="n">
        <f aca="false">J294+S294+T294+U294+V294</f>
        <v>1500.7267296159</v>
      </c>
      <c r="X294" s="9" t="n">
        <f aca="false">W294/J294-1</f>
        <v>0.000484486410600171</v>
      </c>
      <c r="Y294" s="6" t="n">
        <f aca="false">INDEX(DRIVERS!$B$32:$B$42,MATCH(B294,DRIVERS!$A$32:$A$42,0))</f>
        <v>0.3</v>
      </c>
      <c r="Z294" s="5" t="n">
        <f aca="false">W294*(1+Y294)</f>
        <v>1950.94474850067</v>
      </c>
      <c r="AA294" s="5" t="n">
        <f aca="false">W294*(1+Y294+DRIVERS!$B$26)*(1+DRIVERS!$B$27)</f>
        <v>2269.09881517924</v>
      </c>
      <c r="AB294" s="2" t="s">
        <v>218</v>
      </c>
      <c r="AC294" s="8"/>
      <c r="AD294" s="2" t="s">
        <v>377</v>
      </c>
    </row>
    <row r="295" customFormat="false" ht="15" hidden="false" customHeight="false" outlineLevel="0" collapsed="false">
      <c r="A295" s="2" t="s">
        <v>1077</v>
      </c>
      <c r="B295" s="2" t="s">
        <v>891</v>
      </c>
      <c r="C295" s="2" t="s">
        <v>92</v>
      </c>
      <c r="D295" s="2" t="s">
        <v>1078</v>
      </c>
      <c r="E295" s="2" t="s">
        <v>1079</v>
      </c>
      <c r="F295" s="2" t="s">
        <v>186</v>
      </c>
      <c r="G295" s="2" t="s">
        <v>186</v>
      </c>
      <c r="H295" s="5" t="n">
        <v>2000</v>
      </c>
      <c r="I295" s="6" t="n">
        <f aca="false">INDEX(SUPPLIERS!$D$3:$D$30,MATCH(C295,SUPPLIERS!$A$3:$A$30,0))</f>
        <v>0</v>
      </c>
      <c r="J295" s="5" t="n">
        <f aca="false">H295*(1-I295)</f>
        <v>2000</v>
      </c>
      <c r="M295" s="5" t="str">
        <f aca="false">IF(K295="","",J295/K295)</f>
        <v/>
      </c>
      <c r="N295" s="2" t="n">
        <v>2</v>
      </c>
      <c r="O295" s="13" t="n">
        <v>0.00285</v>
      </c>
      <c r="P295" s="2" t="s">
        <v>310</v>
      </c>
      <c r="Q295" s="14" t="n">
        <f aca="false">MAX(N295/DRIVERS!$B$5,O295/DRIVERS!$B$6)</f>
        <v>0.000666666666666667</v>
      </c>
      <c r="R295" s="15" t="n">
        <f aca="false">ROUNDDOWN(1/Q295,0)</f>
        <v>1500</v>
      </c>
      <c r="S295" s="5" t="n">
        <f aca="false">DRIVERS!$B$23*Q295/DRIVERS!$B$24</f>
        <v>3.46061721857279</v>
      </c>
      <c r="T295" s="5" t="n">
        <f aca="false">J295*INDEX(DRIVERS!$C$32:$C$42,MATCH(B295,DRIVERS!$A$32:$A$42,0))</f>
        <v>0</v>
      </c>
      <c r="U295" s="5" t="n">
        <f aca="false">J295*INDEX(SUPPLIERS!$E$3:$E$30,MATCH(C295,SUPPLIERS!$A$3:$A$30,0))</f>
        <v>0</v>
      </c>
      <c r="V295" s="5" t="n">
        <v>0</v>
      </c>
      <c r="W295" s="5" t="n">
        <f aca="false">J295+S295+T295+U295+V295</f>
        <v>2003.46061721857</v>
      </c>
      <c r="X295" s="9" t="n">
        <f aca="false">W295/J295-1</f>
        <v>0.00173030860928636</v>
      </c>
      <c r="Y295" s="6" t="n">
        <f aca="false">INDEX(DRIVERS!$B$32:$B$42,MATCH(B295,DRIVERS!$A$32:$A$42,0))</f>
        <v>0.3</v>
      </c>
      <c r="Z295" s="5" t="n">
        <f aca="false">W295*(1+Y295)</f>
        <v>2604.49880238414</v>
      </c>
      <c r="AA295" s="5" t="n">
        <f aca="false">W295*(1+Y295+DRIVERS!$B$26)*(1+DRIVERS!$B$27)</f>
        <v>3029.23245323448</v>
      </c>
      <c r="AB295" s="2" t="s">
        <v>218</v>
      </c>
      <c r="AC295" s="8"/>
    </row>
    <row r="296" customFormat="false" ht="15" hidden="false" customHeight="false" outlineLevel="0" collapsed="false">
      <c r="A296" s="2" t="s">
        <v>1080</v>
      </c>
      <c r="B296" s="2" t="s">
        <v>891</v>
      </c>
      <c r="C296" s="2" t="s">
        <v>92</v>
      </c>
      <c r="D296" s="2" t="s">
        <v>1081</v>
      </c>
      <c r="E296" s="2" t="s">
        <v>969</v>
      </c>
      <c r="F296" s="2" t="s">
        <v>186</v>
      </c>
      <c r="G296" s="2" t="s">
        <v>186</v>
      </c>
      <c r="H296" s="5" t="n">
        <v>2000</v>
      </c>
      <c r="I296" s="6" t="n">
        <f aca="false">INDEX(SUPPLIERS!$D$3:$D$30,MATCH(C296,SUPPLIERS!$A$3:$A$30,0))</f>
        <v>0</v>
      </c>
      <c r="J296" s="5" t="n">
        <f aca="false">H296*(1-I296)</f>
        <v>2000</v>
      </c>
      <c r="M296" s="5" t="str">
        <f aca="false">IF(K296="","",J296/K296)</f>
        <v/>
      </c>
      <c r="N296" s="2" t="n">
        <v>1.7</v>
      </c>
      <c r="O296" s="13" t="n">
        <v>0.00154</v>
      </c>
      <c r="P296" s="2" t="s">
        <v>310</v>
      </c>
      <c r="Q296" s="14" t="n">
        <f aca="false">MAX(N296/DRIVERS!$B$5,O296/DRIVERS!$B$6)</f>
        <v>0.000566666666666667</v>
      </c>
      <c r="R296" s="15" t="n">
        <f aca="false">ROUNDDOWN(1/Q296,0)</f>
        <v>1764</v>
      </c>
      <c r="S296" s="5" t="n">
        <f aca="false">DRIVERS!$B$23*Q296/DRIVERS!$B$24</f>
        <v>2.94152463578687</v>
      </c>
      <c r="T296" s="5" t="n">
        <f aca="false">J296*INDEX(DRIVERS!$C$32:$C$42,MATCH(B296,DRIVERS!$A$32:$A$42,0))</f>
        <v>0</v>
      </c>
      <c r="U296" s="5" t="n">
        <f aca="false">J296*INDEX(SUPPLIERS!$E$3:$E$30,MATCH(C296,SUPPLIERS!$A$3:$A$30,0))</f>
        <v>0</v>
      </c>
      <c r="V296" s="5" t="n">
        <v>0</v>
      </c>
      <c r="W296" s="5" t="n">
        <f aca="false">J296+S296+T296+U296+V296</f>
        <v>2002.94152463579</v>
      </c>
      <c r="X296" s="9" t="n">
        <f aca="false">W296/J296-1</f>
        <v>0.00147076231789334</v>
      </c>
      <c r="Y296" s="6" t="n">
        <f aca="false">INDEX(DRIVERS!$B$32:$B$42,MATCH(B296,DRIVERS!$A$32:$A$42,0))</f>
        <v>0.3</v>
      </c>
      <c r="Z296" s="5" t="n">
        <f aca="false">W296*(1+Y296)</f>
        <v>2603.82398202652</v>
      </c>
      <c r="AA296" s="5" t="n">
        <f aca="false">W296*(1+Y296+DRIVERS!$B$26)*(1+DRIVERS!$B$27)</f>
        <v>3028.44758524931</v>
      </c>
      <c r="AB296" s="2" t="s">
        <v>218</v>
      </c>
      <c r="AC296" s="8"/>
    </row>
    <row r="297" customFormat="false" ht="15" hidden="false" customHeight="false" outlineLevel="0" collapsed="false">
      <c r="A297" s="2" t="s">
        <v>1082</v>
      </c>
      <c r="B297" s="2" t="s">
        <v>891</v>
      </c>
      <c r="C297" s="2" t="s">
        <v>92</v>
      </c>
      <c r="D297" s="2" t="s">
        <v>1083</v>
      </c>
      <c r="E297" s="2" t="s">
        <v>1084</v>
      </c>
      <c r="F297" s="2" t="s">
        <v>186</v>
      </c>
      <c r="G297" s="2" t="s">
        <v>186</v>
      </c>
      <c r="H297" s="5" t="n">
        <v>2500</v>
      </c>
      <c r="I297" s="6" t="n">
        <f aca="false">INDEX(SUPPLIERS!$D$3:$D$30,MATCH(C297,SUPPLIERS!$A$3:$A$30,0))</f>
        <v>0</v>
      </c>
      <c r="J297" s="5" t="n">
        <f aca="false">H297*(1-I297)</f>
        <v>2500</v>
      </c>
      <c r="M297" s="5" t="str">
        <f aca="false">IF(K297="","",J297/K297)</f>
        <v/>
      </c>
      <c r="N297" s="2" t="n">
        <v>2</v>
      </c>
      <c r="O297" s="13" t="n">
        <v>0.00308</v>
      </c>
      <c r="P297" s="2" t="s">
        <v>310</v>
      </c>
      <c r="Q297" s="14" t="n">
        <f aca="false">MAX(N297/DRIVERS!$B$5,O297/DRIVERS!$B$6)</f>
        <v>0.000666666666666667</v>
      </c>
      <c r="R297" s="15" t="n">
        <f aca="false">ROUNDDOWN(1/Q297,0)</f>
        <v>1500</v>
      </c>
      <c r="S297" s="5" t="n">
        <f aca="false">DRIVERS!$B$23*Q297/DRIVERS!$B$24</f>
        <v>3.46061721857279</v>
      </c>
      <c r="T297" s="5" t="n">
        <f aca="false">J297*INDEX(DRIVERS!$C$32:$C$42,MATCH(B297,DRIVERS!$A$32:$A$42,0))</f>
        <v>0</v>
      </c>
      <c r="U297" s="5" t="n">
        <f aca="false">J297*INDEX(SUPPLIERS!$E$3:$E$30,MATCH(C297,SUPPLIERS!$A$3:$A$30,0))</f>
        <v>0</v>
      </c>
      <c r="V297" s="5" t="n">
        <v>0</v>
      </c>
      <c r="W297" s="5" t="n">
        <f aca="false">J297+S297+T297+U297+V297</f>
        <v>2503.46061721857</v>
      </c>
      <c r="X297" s="9" t="n">
        <f aca="false">W297/J297-1</f>
        <v>0.001384246887429</v>
      </c>
      <c r="Y297" s="6" t="n">
        <f aca="false">INDEX(DRIVERS!$B$32:$B$42,MATCH(B297,DRIVERS!$A$32:$A$42,0))</f>
        <v>0.3</v>
      </c>
      <c r="Z297" s="5" t="n">
        <f aca="false">W297*(1+Y297)</f>
        <v>3254.49880238414</v>
      </c>
      <c r="AA297" s="5" t="n">
        <f aca="false">W297*(1+Y297+DRIVERS!$B$26)*(1+DRIVERS!$B$27)</f>
        <v>3785.23245323448</v>
      </c>
      <c r="AB297" s="2" t="s">
        <v>218</v>
      </c>
      <c r="AC297" s="8"/>
      <c r="AD297" s="2" t="s">
        <v>377</v>
      </c>
    </row>
    <row r="298" customFormat="false" ht="15" hidden="false" customHeight="false" outlineLevel="0" collapsed="false">
      <c r="A298" s="2" t="s">
        <v>1085</v>
      </c>
      <c r="B298" s="2" t="s">
        <v>891</v>
      </c>
      <c r="C298" s="2" t="s">
        <v>92</v>
      </c>
      <c r="D298" s="2" t="s">
        <v>1086</v>
      </c>
      <c r="E298" s="2" t="s">
        <v>1087</v>
      </c>
      <c r="F298" s="2" t="s">
        <v>186</v>
      </c>
      <c r="G298" s="2" t="s">
        <v>186</v>
      </c>
      <c r="H298" s="5" t="n">
        <v>3000</v>
      </c>
      <c r="I298" s="6" t="n">
        <f aca="false">INDEX(SUPPLIERS!$D$3:$D$30,MATCH(C298,SUPPLIERS!$A$3:$A$30,0))</f>
        <v>0</v>
      </c>
      <c r="J298" s="5" t="n">
        <f aca="false">H298*(1-I298)</f>
        <v>3000</v>
      </c>
      <c r="M298" s="5" t="str">
        <f aca="false">IF(K298="","",J298/K298)</f>
        <v/>
      </c>
      <c r="N298" s="2" t="n">
        <v>2.6</v>
      </c>
      <c r="O298" s="13" t="n">
        <v>0.00367</v>
      </c>
      <c r="P298" s="2" t="s">
        <v>310</v>
      </c>
      <c r="Q298" s="14" t="n">
        <f aca="false">MAX(N298/DRIVERS!$B$5,O298/DRIVERS!$B$6)</f>
        <v>0.000866666666666667</v>
      </c>
      <c r="R298" s="15" t="n">
        <f aca="false">ROUNDDOWN(1/Q298,0)</f>
        <v>1153</v>
      </c>
      <c r="S298" s="5" t="n">
        <f aca="false">DRIVERS!$B$23*Q298/DRIVERS!$B$24</f>
        <v>4.49880238414462</v>
      </c>
      <c r="T298" s="5" t="n">
        <f aca="false">J298*INDEX(DRIVERS!$C$32:$C$42,MATCH(B298,DRIVERS!$A$32:$A$42,0))</f>
        <v>0</v>
      </c>
      <c r="U298" s="5" t="n">
        <f aca="false">J298*INDEX(SUPPLIERS!$E$3:$E$30,MATCH(C298,SUPPLIERS!$A$3:$A$30,0))</f>
        <v>0</v>
      </c>
      <c r="V298" s="5" t="n">
        <v>0</v>
      </c>
      <c r="W298" s="5" t="n">
        <f aca="false">J298+S298+T298+U298+V298</f>
        <v>3004.49880238414</v>
      </c>
      <c r="X298" s="9" t="n">
        <f aca="false">W298/J298-1</f>
        <v>0.00149960079471501</v>
      </c>
      <c r="Y298" s="6" t="n">
        <f aca="false">INDEX(DRIVERS!$B$32:$B$42,MATCH(B298,DRIVERS!$A$32:$A$42,0))</f>
        <v>0.3</v>
      </c>
      <c r="Z298" s="5" t="n">
        <f aca="false">W298*(1+Y298)</f>
        <v>3905.84844309939</v>
      </c>
      <c r="AA298" s="5" t="n">
        <f aca="false">W298*(1+Y298+DRIVERS!$B$26)*(1+DRIVERS!$B$27)</f>
        <v>4542.80218920483</v>
      </c>
      <c r="AB298" s="2" t="s">
        <v>218</v>
      </c>
      <c r="AC298" s="8"/>
    </row>
    <row r="299" customFormat="false" ht="15" hidden="false" customHeight="false" outlineLevel="0" collapsed="false">
      <c r="A299" s="2" t="s">
        <v>1088</v>
      </c>
      <c r="B299" s="2" t="s">
        <v>891</v>
      </c>
      <c r="C299" s="2" t="s">
        <v>92</v>
      </c>
      <c r="D299" s="2" t="s">
        <v>1089</v>
      </c>
      <c r="E299" s="2" t="s">
        <v>1090</v>
      </c>
      <c r="F299" s="2" t="s">
        <v>186</v>
      </c>
      <c r="G299" s="2" t="s">
        <v>186</v>
      </c>
      <c r="H299" s="5" t="n">
        <v>5000</v>
      </c>
      <c r="I299" s="6" t="n">
        <f aca="false">INDEX(SUPPLIERS!$D$3:$D$30,MATCH(C299,SUPPLIERS!$A$3:$A$30,0))</f>
        <v>0</v>
      </c>
      <c r="J299" s="5" t="n">
        <f aca="false">H299*(1-I299)</f>
        <v>5000</v>
      </c>
      <c r="M299" s="5" t="str">
        <f aca="false">IF(K299="","",J299/K299)</f>
        <v/>
      </c>
      <c r="N299" s="2" t="n">
        <v>1.9</v>
      </c>
      <c r="O299" s="13" t="n">
        <v>0.0037</v>
      </c>
      <c r="P299" s="2" t="s">
        <v>310</v>
      </c>
      <c r="Q299" s="14" t="n">
        <f aca="false">MAX(N299/DRIVERS!$B$5,O299/DRIVERS!$B$6)</f>
        <v>0.000633333333333333</v>
      </c>
      <c r="R299" s="15" t="n">
        <f aca="false">ROUNDDOWN(1/Q299,0)</f>
        <v>1578</v>
      </c>
      <c r="S299" s="5" t="n">
        <f aca="false">DRIVERS!$B$23*Q299/DRIVERS!$B$24</f>
        <v>3.28758635764415</v>
      </c>
      <c r="T299" s="5" t="n">
        <f aca="false">J299*INDEX(DRIVERS!$C$32:$C$42,MATCH(B299,DRIVERS!$A$32:$A$42,0))</f>
        <v>0</v>
      </c>
      <c r="U299" s="5" t="n">
        <f aca="false">J299*INDEX(SUPPLIERS!$E$3:$E$30,MATCH(C299,SUPPLIERS!$A$3:$A$30,0))</f>
        <v>0</v>
      </c>
      <c r="V299" s="5" t="n">
        <v>0</v>
      </c>
      <c r="W299" s="5" t="n">
        <f aca="false">J299+S299+T299+U299+V299</f>
        <v>5003.28758635764</v>
      </c>
      <c r="X299" s="9" t="n">
        <f aca="false">W299/J299-1</f>
        <v>0.000657517271528851</v>
      </c>
      <c r="Y299" s="6" t="n">
        <f aca="false">INDEX(DRIVERS!$B$32:$B$42,MATCH(B299,DRIVERS!$A$32:$A$42,0))</f>
        <v>0.3</v>
      </c>
      <c r="Z299" s="5" t="n">
        <f aca="false">W299*(1+Y299)</f>
        <v>6504.27386226494</v>
      </c>
      <c r="AA299" s="5" t="n">
        <f aca="false">W299*(1+Y299+DRIVERS!$B$26)*(1+DRIVERS!$B$27)</f>
        <v>7564.97083057276</v>
      </c>
      <c r="AB299" s="2" t="s">
        <v>218</v>
      </c>
      <c r="AC299" s="8"/>
    </row>
    <row r="300" customFormat="false" ht="15" hidden="false" customHeight="false" outlineLevel="0" collapsed="false">
      <c r="A300" s="2" t="s">
        <v>1091</v>
      </c>
      <c r="B300" s="2" t="s">
        <v>891</v>
      </c>
      <c r="C300" s="2" t="s">
        <v>92</v>
      </c>
      <c r="D300" s="2" t="s">
        <v>1092</v>
      </c>
      <c r="E300" s="2" t="s">
        <v>1093</v>
      </c>
      <c r="F300" s="2" t="s">
        <v>186</v>
      </c>
      <c r="G300" s="2" t="s">
        <v>186</v>
      </c>
      <c r="H300" s="5" t="n">
        <v>1200</v>
      </c>
      <c r="I300" s="6" t="n">
        <f aca="false">INDEX(SUPPLIERS!$D$3:$D$30,MATCH(C300,SUPPLIERS!$A$3:$A$30,0))</f>
        <v>0</v>
      </c>
      <c r="J300" s="5" t="n">
        <f aca="false">H300*(1-I300)</f>
        <v>1200</v>
      </c>
      <c r="M300" s="5" t="str">
        <f aca="false">IF(K300="","",J300/K300)</f>
        <v/>
      </c>
      <c r="N300" s="2" t="n">
        <v>0.8</v>
      </c>
      <c r="O300" s="13" t="n">
        <v>0.00223</v>
      </c>
      <c r="P300" s="2" t="s">
        <v>310</v>
      </c>
      <c r="Q300" s="14" t="n">
        <f aca="false">MAX(N300/DRIVERS!$B$5,O300/DRIVERS!$B$6)</f>
        <v>0.000266666666666667</v>
      </c>
      <c r="R300" s="15" t="n">
        <f aca="false">ROUNDDOWN(1/Q300,0)</f>
        <v>3750</v>
      </c>
      <c r="S300" s="5" t="n">
        <f aca="false">DRIVERS!$B$23*Q300/DRIVERS!$B$24</f>
        <v>1.38424688742911</v>
      </c>
      <c r="T300" s="5" t="n">
        <f aca="false">J300*INDEX(DRIVERS!$C$32:$C$42,MATCH(B300,DRIVERS!$A$32:$A$42,0))</f>
        <v>0</v>
      </c>
      <c r="U300" s="5" t="n">
        <f aca="false">J300*INDEX(SUPPLIERS!$E$3:$E$30,MATCH(C300,SUPPLIERS!$A$3:$A$30,0))</f>
        <v>0</v>
      </c>
      <c r="V300" s="5" t="n">
        <v>0</v>
      </c>
      <c r="W300" s="5" t="n">
        <f aca="false">J300+S300+T300+U300+V300</f>
        <v>1201.38424688743</v>
      </c>
      <c r="X300" s="9" t="n">
        <f aca="false">W300/J300-1</f>
        <v>0.00115353907285765</v>
      </c>
      <c r="Y300" s="6" t="n">
        <f aca="false">INDEX(DRIVERS!$B$32:$B$42,MATCH(B300,DRIVERS!$A$32:$A$42,0))</f>
        <v>0.3</v>
      </c>
      <c r="Z300" s="5" t="n">
        <f aca="false">W300*(1+Y300)</f>
        <v>1561.79952095366</v>
      </c>
      <c r="AA300" s="5" t="n">
        <f aca="false">W300*(1+Y300+DRIVERS!$B$26)*(1+DRIVERS!$B$27)</f>
        <v>1816.49298129379</v>
      </c>
      <c r="AB300" s="2" t="s">
        <v>218</v>
      </c>
      <c r="AC300" s="8"/>
    </row>
    <row r="301" customFormat="false" ht="15" hidden="false" customHeight="false" outlineLevel="0" collapsed="false">
      <c r="A301" s="2" t="s">
        <v>1094</v>
      </c>
      <c r="B301" s="2" t="s">
        <v>891</v>
      </c>
      <c r="C301" s="2" t="s">
        <v>92</v>
      </c>
      <c r="D301" s="2" t="s">
        <v>1095</v>
      </c>
      <c r="E301" s="2" t="s">
        <v>1096</v>
      </c>
      <c r="F301" s="2" t="s">
        <v>186</v>
      </c>
      <c r="G301" s="2" t="s">
        <v>186</v>
      </c>
      <c r="H301" s="5" t="n">
        <v>600</v>
      </c>
      <c r="I301" s="6" t="n">
        <f aca="false">INDEX(SUPPLIERS!$D$3:$D$30,MATCH(C301,SUPPLIERS!$A$3:$A$30,0))</f>
        <v>0</v>
      </c>
      <c r="J301" s="5" t="n">
        <f aca="false">H301*(1-I301)</f>
        <v>600</v>
      </c>
      <c r="M301" s="5" t="str">
        <f aca="false">IF(K301="","",J301/K301)</f>
        <v/>
      </c>
      <c r="N301" s="2" t="n">
        <v>0.25</v>
      </c>
      <c r="O301" s="13" t="n">
        <v>0.00028</v>
      </c>
      <c r="P301" s="2" t="s">
        <v>310</v>
      </c>
      <c r="Q301" s="14" t="n">
        <f aca="false">MAX(N301/DRIVERS!$B$5,O301/DRIVERS!$B$6)</f>
        <v>8.33333333333333E-005</v>
      </c>
      <c r="R301" s="15" t="n">
        <f aca="false">ROUNDDOWN(1/Q301,0)</f>
        <v>12000</v>
      </c>
      <c r="S301" s="5" t="n">
        <f aca="false">DRIVERS!$B$23*Q301/DRIVERS!$B$24</f>
        <v>0.432577152321598</v>
      </c>
      <c r="T301" s="5" t="n">
        <f aca="false">J301*INDEX(DRIVERS!$C$32:$C$42,MATCH(B301,DRIVERS!$A$32:$A$42,0))</f>
        <v>0</v>
      </c>
      <c r="U301" s="5" t="n">
        <f aca="false">J301*INDEX(SUPPLIERS!$E$3:$E$30,MATCH(C301,SUPPLIERS!$A$3:$A$30,0))</f>
        <v>0</v>
      </c>
      <c r="V301" s="5" t="n">
        <v>0</v>
      </c>
      <c r="W301" s="5" t="n">
        <f aca="false">J301+S301+T301+U301+V301</f>
        <v>600.432577152322</v>
      </c>
      <c r="X301" s="9" t="n">
        <f aca="false">W301/J301-1</f>
        <v>0.000720961920536167</v>
      </c>
      <c r="Y301" s="6" t="n">
        <f aca="false">INDEX(DRIVERS!$B$32:$B$42,MATCH(B301,DRIVERS!$A$32:$A$42,0))</f>
        <v>0.3</v>
      </c>
      <c r="Z301" s="5" t="n">
        <f aca="false">W301*(1+Y301)</f>
        <v>780.562350298018</v>
      </c>
      <c r="AA301" s="5" t="n">
        <f aca="false">W301*(1+Y301+DRIVERS!$B$26)*(1+DRIVERS!$B$27)</f>
        <v>907.854056654311</v>
      </c>
      <c r="AB301" s="2" t="s">
        <v>218</v>
      </c>
      <c r="AC301" s="8"/>
    </row>
    <row r="302" customFormat="false" ht="15" hidden="false" customHeight="false" outlineLevel="0" collapsed="false">
      <c r="A302" s="2" t="s">
        <v>1097</v>
      </c>
      <c r="B302" s="2" t="s">
        <v>891</v>
      </c>
      <c r="C302" s="2" t="s">
        <v>92</v>
      </c>
      <c r="D302" s="2" t="s">
        <v>1098</v>
      </c>
      <c r="E302" s="2" t="s">
        <v>1099</v>
      </c>
      <c r="F302" s="2" t="s">
        <v>186</v>
      </c>
      <c r="G302" s="2" t="s">
        <v>186</v>
      </c>
      <c r="H302" s="5" t="n">
        <v>900</v>
      </c>
      <c r="I302" s="6" t="n">
        <f aca="false">INDEX(SUPPLIERS!$D$3:$D$30,MATCH(C302,SUPPLIERS!$A$3:$A$30,0))</f>
        <v>0</v>
      </c>
      <c r="J302" s="5" t="n">
        <f aca="false">H302*(1-I302)</f>
        <v>900</v>
      </c>
      <c r="M302" s="5" t="str">
        <f aca="false">IF(K302="","",J302/K302)</f>
        <v/>
      </c>
      <c r="N302" s="2" t="n">
        <v>0.32</v>
      </c>
      <c r="O302" s="13" t="n">
        <v>0.00045</v>
      </c>
      <c r="P302" s="2" t="s">
        <v>310</v>
      </c>
      <c r="Q302" s="14" t="n">
        <f aca="false">MAX(N302/DRIVERS!$B$5,O302/DRIVERS!$B$6)</f>
        <v>0.000106666666666667</v>
      </c>
      <c r="R302" s="15" t="n">
        <f aca="false">ROUNDDOWN(1/Q302,0)</f>
        <v>9375</v>
      </c>
      <c r="S302" s="5" t="n">
        <f aca="false">DRIVERS!$B$23*Q302/DRIVERS!$B$24</f>
        <v>0.553698754971646</v>
      </c>
      <c r="T302" s="5" t="n">
        <f aca="false">J302*INDEX(DRIVERS!$C$32:$C$42,MATCH(B302,DRIVERS!$A$32:$A$42,0))</f>
        <v>0</v>
      </c>
      <c r="U302" s="5" t="n">
        <f aca="false">J302*INDEX(SUPPLIERS!$E$3:$E$30,MATCH(C302,SUPPLIERS!$A$3:$A$30,0))</f>
        <v>0</v>
      </c>
      <c r="V302" s="5" t="n">
        <v>0</v>
      </c>
      <c r="W302" s="5" t="n">
        <f aca="false">J302+S302+T302+U302+V302</f>
        <v>900.553698754972</v>
      </c>
      <c r="X302" s="9" t="n">
        <f aca="false">W302/J302-1</f>
        <v>0.000615220838857233</v>
      </c>
      <c r="Y302" s="6" t="n">
        <f aca="false">INDEX(DRIVERS!$B$32:$B$42,MATCH(B302,DRIVERS!$A$32:$A$42,0))</f>
        <v>0.3</v>
      </c>
      <c r="Z302" s="5" t="n">
        <f aca="false">W302*(1+Y302)</f>
        <v>1170.71980838146</v>
      </c>
      <c r="AA302" s="5" t="n">
        <f aca="false">W302*(1+Y302+DRIVERS!$B$26)*(1+DRIVERS!$B$27)</f>
        <v>1361.63719251752</v>
      </c>
      <c r="AB302" s="2" t="s">
        <v>218</v>
      </c>
      <c r="AC302" s="8"/>
    </row>
    <row r="303" customFormat="false" ht="15" hidden="false" customHeight="false" outlineLevel="0" collapsed="false">
      <c r="A303" s="2" t="s">
        <v>1100</v>
      </c>
      <c r="B303" s="2" t="s">
        <v>891</v>
      </c>
      <c r="C303" s="2" t="s">
        <v>92</v>
      </c>
      <c r="D303" s="2" t="s">
        <v>1101</v>
      </c>
      <c r="E303" s="2" t="s">
        <v>986</v>
      </c>
      <c r="F303" s="2" t="s">
        <v>186</v>
      </c>
      <c r="G303" s="2" t="s">
        <v>186</v>
      </c>
      <c r="H303" s="5" t="n">
        <v>1000</v>
      </c>
      <c r="I303" s="6" t="n">
        <f aca="false">INDEX(SUPPLIERS!$D$3:$D$30,MATCH(C303,SUPPLIERS!$A$3:$A$30,0))</f>
        <v>0</v>
      </c>
      <c r="J303" s="5" t="n">
        <f aca="false">H303*(1-I303)</f>
        <v>1000</v>
      </c>
      <c r="M303" s="5" t="str">
        <f aca="false">IF(K303="","",J303/K303)</f>
        <v/>
      </c>
      <c r="N303" s="2" t="n">
        <v>0.3</v>
      </c>
      <c r="O303" s="13" t="n">
        <v>0.00028</v>
      </c>
      <c r="P303" s="2" t="s">
        <v>310</v>
      </c>
      <c r="Q303" s="14" t="n">
        <f aca="false">MAX(N303/DRIVERS!$B$5,O303/DRIVERS!$B$6)</f>
        <v>1E-004</v>
      </c>
      <c r="R303" s="15" t="n">
        <f aca="false">ROUNDDOWN(1/Q303,0)</f>
        <v>10000</v>
      </c>
      <c r="S303" s="5" t="n">
        <f aca="false">DRIVERS!$B$23*Q303/DRIVERS!$B$24</f>
        <v>0.519092582785918</v>
      </c>
      <c r="T303" s="5" t="n">
        <f aca="false">J303*INDEX(DRIVERS!$C$32:$C$42,MATCH(B303,DRIVERS!$A$32:$A$42,0))</f>
        <v>0</v>
      </c>
      <c r="U303" s="5" t="n">
        <f aca="false">J303*INDEX(SUPPLIERS!$E$3:$E$30,MATCH(C303,SUPPLIERS!$A$3:$A$30,0))</f>
        <v>0</v>
      </c>
      <c r="V303" s="5" t="n">
        <v>0</v>
      </c>
      <c r="W303" s="5" t="n">
        <f aca="false">J303+S303+T303+U303+V303</f>
        <v>1000.51909258279</v>
      </c>
      <c r="X303" s="9" t="n">
        <f aca="false">W303/J303-1</f>
        <v>0.000519092582785818</v>
      </c>
      <c r="Y303" s="6" t="n">
        <f aca="false">INDEX(DRIVERS!$B$32:$B$42,MATCH(B303,DRIVERS!$A$32:$A$42,0))</f>
        <v>0.3</v>
      </c>
      <c r="Z303" s="5" t="n">
        <f aca="false">W303*(1+Y303)</f>
        <v>1300.67482035762</v>
      </c>
      <c r="AA303" s="5" t="n">
        <f aca="false">W303*(1+Y303+DRIVERS!$B$26)*(1+DRIVERS!$B$27)</f>
        <v>1512.78486798517</v>
      </c>
      <c r="AB303" s="2" t="s">
        <v>218</v>
      </c>
      <c r="AC303" s="8"/>
    </row>
    <row r="304" customFormat="false" ht="15" hidden="false" customHeight="false" outlineLevel="0" collapsed="false">
      <c r="A304" s="2" t="s">
        <v>1102</v>
      </c>
      <c r="B304" s="2" t="s">
        <v>891</v>
      </c>
      <c r="C304" s="2" t="s">
        <v>92</v>
      </c>
      <c r="D304" s="2" t="s">
        <v>1103</v>
      </c>
      <c r="E304" s="2" t="s">
        <v>1104</v>
      </c>
      <c r="F304" s="2" t="s">
        <v>186</v>
      </c>
      <c r="G304" s="2" t="s">
        <v>186</v>
      </c>
      <c r="H304" s="5" t="n">
        <v>1800</v>
      </c>
      <c r="I304" s="6" t="n">
        <f aca="false">INDEX(SUPPLIERS!$D$3:$D$30,MATCH(C304,SUPPLIERS!$A$3:$A$30,0))</f>
        <v>0</v>
      </c>
      <c r="J304" s="5" t="n">
        <f aca="false">H304*(1-I304)</f>
        <v>1800</v>
      </c>
      <c r="M304" s="5" t="str">
        <f aca="false">IF(K304="","",J304/K304)</f>
        <v/>
      </c>
      <c r="N304" s="2" t="n">
        <v>0.55</v>
      </c>
      <c r="O304" s="13" t="n">
        <v>0.00062</v>
      </c>
      <c r="P304" s="2" t="s">
        <v>310</v>
      </c>
      <c r="Q304" s="14" t="n">
        <f aca="false">MAX(N304/DRIVERS!$B$5,O304/DRIVERS!$B$6)</f>
        <v>0.000183333333333333</v>
      </c>
      <c r="R304" s="15" t="n">
        <f aca="false">ROUNDDOWN(1/Q304,0)</f>
        <v>5454</v>
      </c>
      <c r="S304" s="5" t="n">
        <f aca="false">DRIVERS!$B$23*Q304/DRIVERS!$B$24</f>
        <v>0.951669735107516</v>
      </c>
      <c r="T304" s="5" t="n">
        <f aca="false">J304*INDEX(DRIVERS!$C$32:$C$42,MATCH(B304,DRIVERS!$A$32:$A$42,0))</f>
        <v>0</v>
      </c>
      <c r="U304" s="5" t="n">
        <f aca="false">J304*INDEX(SUPPLIERS!$E$3:$E$30,MATCH(C304,SUPPLIERS!$A$3:$A$30,0))</f>
        <v>0</v>
      </c>
      <c r="V304" s="5" t="n">
        <v>0</v>
      </c>
      <c r="W304" s="5" t="n">
        <f aca="false">J304+S304+T304+U304+V304</f>
        <v>1800.95166973511</v>
      </c>
      <c r="X304" s="9" t="n">
        <f aca="false">W304/J304-1</f>
        <v>0.000528705408393115</v>
      </c>
      <c r="Y304" s="6" t="n">
        <f aca="false">INDEX(DRIVERS!$B$32:$B$42,MATCH(B304,DRIVERS!$A$32:$A$42,0))</f>
        <v>0.3</v>
      </c>
      <c r="Z304" s="5" t="n">
        <f aca="false">W304*(1+Y304)</f>
        <v>2341.23717065564</v>
      </c>
      <c r="AA304" s="5" t="n">
        <f aca="false">W304*(1+Y304+DRIVERS!$B$26)*(1+DRIVERS!$B$27)</f>
        <v>2723.03892463948</v>
      </c>
      <c r="AB304" s="2" t="s">
        <v>218</v>
      </c>
      <c r="AC304" s="8"/>
    </row>
    <row r="305" customFormat="false" ht="15" hidden="false" customHeight="false" outlineLevel="0" collapsed="false">
      <c r="A305" s="2" t="s">
        <v>1105</v>
      </c>
      <c r="B305" s="2" t="s">
        <v>891</v>
      </c>
      <c r="C305" s="2" t="s">
        <v>92</v>
      </c>
      <c r="D305" s="2" t="s">
        <v>1106</v>
      </c>
      <c r="E305" s="2" t="s">
        <v>1107</v>
      </c>
      <c r="F305" s="2" t="s">
        <v>186</v>
      </c>
      <c r="G305" s="2" t="s">
        <v>186</v>
      </c>
      <c r="H305" s="5" t="n">
        <v>600</v>
      </c>
      <c r="I305" s="6" t="n">
        <f aca="false">INDEX(SUPPLIERS!$D$3:$D$30,MATCH(C305,SUPPLIERS!$A$3:$A$30,0))</f>
        <v>0</v>
      </c>
      <c r="J305" s="5" t="n">
        <f aca="false">H305*(1-I305)</f>
        <v>600</v>
      </c>
      <c r="M305" s="5" t="str">
        <f aca="false">IF(K305="","",J305/K305)</f>
        <v/>
      </c>
      <c r="N305" s="2" t="n">
        <v>0.54</v>
      </c>
      <c r="O305" s="13" t="n">
        <v>0.0006</v>
      </c>
      <c r="P305" s="2" t="s">
        <v>310</v>
      </c>
      <c r="Q305" s="14" t="n">
        <f aca="false">MAX(N305/DRIVERS!$B$5,O305/DRIVERS!$B$6)</f>
        <v>0.00018</v>
      </c>
      <c r="R305" s="15" t="n">
        <f aca="false">ROUNDDOWN(1/Q305,0)</f>
        <v>5555</v>
      </c>
      <c r="S305" s="5" t="n">
        <f aca="false">DRIVERS!$B$23*Q305/DRIVERS!$B$24</f>
        <v>0.934366649014652</v>
      </c>
      <c r="T305" s="5" t="n">
        <f aca="false">J305*INDEX(DRIVERS!$C$32:$C$42,MATCH(B305,DRIVERS!$A$32:$A$42,0))</f>
        <v>0</v>
      </c>
      <c r="U305" s="5" t="n">
        <f aca="false">J305*INDEX(SUPPLIERS!$E$3:$E$30,MATCH(C305,SUPPLIERS!$A$3:$A$30,0))</f>
        <v>0</v>
      </c>
      <c r="V305" s="5" t="n">
        <v>0</v>
      </c>
      <c r="W305" s="5" t="n">
        <f aca="false">J305+S305+T305+U305+V305</f>
        <v>600.934366649015</v>
      </c>
      <c r="X305" s="9" t="n">
        <f aca="false">W305/J305-1</f>
        <v>0.0015572777483579</v>
      </c>
      <c r="Y305" s="6" t="n">
        <f aca="false">INDEX(DRIVERS!$B$32:$B$42,MATCH(B305,DRIVERS!$A$32:$A$42,0))</f>
        <v>0.3</v>
      </c>
      <c r="Z305" s="5" t="n">
        <f aca="false">W305*(1+Y305)</f>
        <v>781.214676643719</v>
      </c>
      <c r="AA305" s="5" t="n">
        <f aca="false">W305*(1+Y305+DRIVERS!$B$26)*(1+DRIVERS!$B$27)</f>
        <v>908.61276237331</v>
      </c>
      <c r="AB305" s="2" t="s">
        <v>218</v>
      </c>
      <c r="AC305" s="8"/>
    </row>
    <row r="306" customFormat="false" ht="15" hidden="false" customHeight="false" outlineLevel="0" collapsed="false">
      <c r="A306" s="2" t="s">
        <v>71</v>
      </c>
      <c r="B306" s="2" t="s">
        <v>891</v>
      </c>
      <c r="C306" s="2" t="s">
        <v>92</v>
      </c>
      <c r="D306" s="2" t="s">
        <v>1108</v>
      </c>
      <c r="E306" s="2" t="s">
        <v>1109</v>
      </c>
      <c r="F306" s="2" t="s">
        <v>186</v>
      </c>
      <c r="G306" s="2" t="s">
        <v>186</v>
      </c>
      <c r="H306" s="5" t="n">
        <v>2000</v>
      </c>
      <c r="I306" s="6" t="n">
        <f aca="false">INDEX(SUPPLIERS!$D$3:$D$30,MATCH(C306,SUPPLIERS!$A$3:$A$30,0))</f>
        <v>0</v>
      </c>
      <c r="J306" s="5" t="n">
        <f aca="false">H306*(1-I306)</f>
        <v>2000</v>
      </c>
      <c r="M306" s="5" t="str">
        <f aca="false">IF(K306="","",J306/K306)</f>
        <v/>
      </c>
      <c r="N306" s="2" t="n">
        <v>0.85</v>
      </c>
      <c r="O306" s="13" t="n">
        <v>0.00324</v>
      </c>
      <c r="P306" s="2" t="s">
        <v>310</v>
      </c>
      <c r="Q306" s="14" t="n">
        <f aca="false">MAX(N306/DRIVERS!$B$5,O306/DRIVERS!$B$6)</f>
        <v>0.000283333333333333</v>
      </c>
      <c r="R306" s="15" t="n">
        <f aca="false">ROUNDDOWN(1/Q306,0)</f>
        <v>3529</v>
      </c>
      <c r="S306" s="5" t="n">
        <f aca="false">DRIVERS!$B$23*Q306/DRIVERS!$B$24</f>
        <v>1.47076231789343</v>
      </c>
      <c r="T306" s="5" t="n">
        <f aca="false">J306*INDEX(DRIVERS!$C$32:$C$42,MATCH(B306,DRIVERS!$A$32:$A$42,0))</f>
        <v>0</v>
      </c>
      <c r="U306" s="5" t="n">
        <f aca="false">J306*INDEX(SUPPLIERS!$E$3:$E$30,MATCH(C306,SUPPLIERS!$A$3:$A$30,0))</f>
        <v>0</v>
      </c>
      <c r="V306" s="5" t="n">
        <v>0</v>
      </c>
      <c r="W306" s="5" t="n">
        <f aca="false">J306+S306+T306+U306+V306</f>
        <v>2001.47076231789</v>
      </c>
      <c r="X306" s="9" t="n">
        <f aca="false">W306/J306-1</f>
        <v>0.000735381158946558</v>
      </c>
      <c r="Y306" s="6" t="n">
        <f aca="false">INDEX(DRIVERS!$B$32:$B$42,MATCH(B306,DRIVERS!$A$32:$A$42,0))</f>
        <v>0.3</v>
      </c>
      <c r="Z306" s="5" t="n">
        <f aca="false">W306*(1+Y306)</f>
        <v>2601.91199101326</v>
      </c>
      <c r="AA306" s="5" t="n">
        <f aca="false">W306*(1+Y306+DRIVERS!$B$26)*(1+DRIVERS!$B$27)</f>
        <v>3026.22379262466</v>
      </c>
      <c r="AB306" s="2" t="s">
        <v>218</v>
      </c>
      <c r="AC306" s="8"/>
    </row>
    <row r="307" customFormat="false" ht="15" hidden="false" customHeight="false" outlineLevel="0" collapsed="false">
      <c r="A307" s="2" t="s">
        <v>1110</v>
      </c>
      <c r="B307" s="2" t="s">
        <v>891</v>
      </c>
      <c r="C307" s="2" t="s">
        <v>92</v>
      </c>
      <c r="D307" s="2" t="s">
        <v>1111</v>
      </c>
      <c r="E307" s="2" t="s">
        <v>1010</v>
      </c>
      <c r="F307" s="2" t="s">
        <v>186</v>
      </c>
      <c r="G307" s="2" t="s">
        <v>186</v>
      </c>
      <c r="H307" s="5" t="n">
        <v>6000</v>
      </c>
      <c r="I307" s="6" t="n">
        <f aca="false">INDEX(SUPPLIERS!$D$3:$D$30,MATCH(C307,SUPPLIERS!$A$3:$A$30,0))</f>
        <v>0</v>
      </c>
      <c r="J307" s="5" t="n">
        <f aca="false">H307*(1-I307)</f>
        <v>6000</v>
      </c>
      <c r="M307" s="5" t="str">
        <f aca="false">IF(K307="","",J307/K307)</f>
        <v/>
      </c>
      <c r="N307" s="2" t="n">
        <v>3.2</v>
      </c>
      <c r="O307" s="13" t="n">
        <v>0.00676</v>
      </c>
      <c r="P307" s="2" t="s">
        <v>310</v>
      </c>
      <c r="Q307" s="14" t="n">
        <f aca="false">MAX(N307/DRIVERS!$B$5,O307/DRIVERS!$B$6)</f>
        <v>0.00106666666666667</v>
      </c>
      <c r="R307" s="15" t="n">
        <f aca="false">ROUNDDOWN(1/Q307,0)</f>
        <v>937</v>
      </c>
      <c r="S307" s="5" t="n">
        <f aca="false">DRIVERS!$B$23*Q307/DRIVERS!$B$24</f>
        <v>5.53698754971646</v>
      </c>
      <c r="T307" s="5" t="n">
        <f aca="false">J307*INDEX(DRIVERS!$C$32:$C$42,MATCH(B307,DRIVERS!$A$32:$A$42,0))</f>
        <v>0</v>
      </c>
      <c r="U307" s="5" t="n">
        <f aca="false">J307*INDEX(SUPPLIERS!$E$3:$E$30,MATCH(C307,SUPPLIERS!$A$3:$A$30,0))</f>
        <v>0</v>
      </c>
      <c r="V307" s="5" t="n">
        <v>0</v>
      </c>
      <c r="W307" s="5" t="n">
        <f aca="false">J307+S307+T307+U307+V307</f>
        <v>6005.53698754972</v>
      </c>
      <c r="X307" s="9" t="n">
        <f aca="false">W307/J307-1</f>
        <v>0.000922831258286072</v>
      </c>
      <c r="Y307" s="6" t="n">
        <f aca="false">INDEX(DRIVERS!$B$32:$B$42,MATCH(B307,DRIVERS!$A$32:$A$42,0))</f>
        <v>0.3</v>
      </c>
      <c r="Z307" s="5" t="n">
        <f aca="false">W307*(1+Y307)</f>
        <v>7807.19808381463</v>
      </c>
      <c r="AA307" s="5" t="n">
        <f aca="false">W307*(1+Y307+DRIVERS!$B$26)*(1+DRIVERS!$B$27)</f>
        <v>9080.37192517517</v>
      </c>
      <c r="AB307" s="2" t="s">
        <v>218</v>
      </c>
      <c r="AC307" s="8"/>
    </row>
    <row r="308" customFormat="false" ht="15" hidden="false" customHeight="false" outlineLevel="0" collapsed="false">
      <c r="A308" s="2" t="s">
        <v>1112</v>
      </c>
      <c r="B308" s="2" t="s">
        <v>891</v>
      </c>
      <c r="C308" s="2" t="s">
        <v>92</v>
      </c>
      <c r="D308" s="2" t="s">
        <v>1113</v>
      </c>
      <c r="E308" s="2" t="s">
        <v>1114</v>
      </c>
      <c r="F308" s="2" t="s">
        <v>186</v>
      </c>
      <c r="G308" s="2" t="s">
        <v>186</v>
      </c>
      <c r="H308" s="5" t="n">
        <v>9500</v>
      </c>
      <c r="I308" s="6" t="n">
        <f aca="false">INDEX(SUPPLIERS!$D$3:$D$30,MATCH(C308,SUPPLIERS!$A$3:$A$30,0))</f>
        <v>0</v>
      </c>
      <c r="J308" s="5" t="n">
        <f aca="false">H308*(1-I308)</f>
        <v>9500</v>
      </c>
      <c r="M308" s="5" t="str">
        <f aca="false">IF(K308="","",J308/K308)</f>
        <v/>
      </c>
      <c r="N308" s="2" t="n">
        <v>8.35</v>
      </c>
      <c r="O308" s="13" t="n">
        <v>0.01915</v>
      </c>
      <c r="P308" s="2" t="s">
        <v>310</v>
      </c>
      <c r="Q308" s="14" t="n">
        <f aca="false">MAX(N308/DRIVERS!$B$5,O308/DRIVERS!$B$6)</f>
        <v>0.00278333333333333</v>
      </c>
      <c r="R308" s="15" t="n">
        <f aca="false">ROUNDDOWN(1/Q308,0)</f>
        <v>359</v>
      </c>
      <c r="S308" s="5" t="n">
        <f aca="false">DRIVERS!$B$23*Q308/DRIVERS!$B$24</f>
        <v>14.4480768875414</v>
      </c>
      <c r="T308" s="5" t="n">
        <f aca="false">J308*INDEX(DRIVERS!$C$32:$C$42,MATCH(B308,DRIVERS!$A$32:$A$42,0))</f>
        <v>0</v>
      </c>
      <c r="U308" s="5" t="n">
        <f aca="false">J308*INDEX(SUPPLIERS!$E$3:$E$30,MATCH(C308,SUPPLIERS!$A$3:$A$30,0))</f>
        <v>0</v>
      </c>
      <c r="V308" s="5" t="n">
        <v>0</v>
      </c>
      <c r="W308" s="5" t="n">
        <f aca="false">J308+S308+T308+U308+V308</f>
        <v>9514.44807688754</v>
      </c>
      <c r="X308" s="9" t="n">
        <f aca="false">W308/J308-1</f>
        <v>0.00152085019868853</v>
      </c>
      <c r="Y308" s="6" t="n">
        <f aca="false">INDEX(DRIVERS!$B$32:$B$42,MATCH(B308,DRIVERS!$A$32:$A$42,0))</f>
        <v>0.3</v>
      </c>
      <c r="Z308" s="5" t="n">
        <f aca="false">W308*(1+Y308)</f>
        <v>12368.7824999538</v>
      </c>
      <c r="AA308" s="5" t="n">
        <f aca="false">W308*(1+Y308+DRIVERS!$B$26)*(1+DRIVERS!$B$27)</f>
        <v>14385.845492254</v>
      </c>
      <c r="AB308" s="2" t="s">
        <v>218</v>
      </c>
      <c r="AC308" s="8"/>
    </row>
    <row r="309" customFormat="false" ht="15" hidden="false" customHeight="false" outlineLevel="0" collapsed="false">
      <c r="A309" s="2" t="s">
        <v>1115</v>
      </c>
      <c r="B309" s="2" t="s">
        <v>1116</v>
      </c>
      <c r="C309" s="2" t="s">
        <v>90</v>
      </c>
      <c r="D309" s="2" t="s">
        <v>1117</v>
      </c>
      <c r="F309" s="2" t="s">
        <v>186</v>
      </c>
      <c r="G309" s="2" t="s">
        <v>186</v>
      </c>
      <c r="H309" s="5" t="n">
        <v>500</v>
      </c>
      <c r="I309" s="6" t="n">
        <f aca="false">INDEX(SUPPLIERS!$D$3:$D$30,MATCH(C309,SUPPLIERS!$A$3:$A$30,0))</f>
        <v>0</v>
      </c>
      <c r="J309" s="5" t="n">
        <f aca="false">H309*(1-I309)</f>
        <v>500</v>
      </c>
      <c r="M309" s="5" t="str">
        <f aca="false">IF(K309="","",J309/K309)</f>
        <v/>
      </c>
      <c r="N309" s="2" t="n">
        <v>0.3</v>
      </c>
      <c r="O309" s="13" t="n">
        <v>0.0005</v>
      </c>
      <c r="P309" s="2" t="s">
        <v>1118</v>
      </c>
      <c r="Q309" s="14" t="n">
        <f aca="false">MAX(N309/DRIVERS!$B$5,O309/DRIVERS!$B$6)</f>
        <v>1E-004</v>
      </c>
      <c r="R309" s="15" t="n">
        <f aca="false">ROUNDDOWN(1/Q309,0)</f>
        <v>10000</v>
      </c>
      <c r="S309" s="5" t="n">
        <f aca="false">DRIVERS!$B$23*Q309/DRIVERS!$B$24</f>
        <v>0.519092582785918</v>
      </c>
      <c r="T309" s="5" t="n">
        <f aca="false">J309*INDEX(DRIVERS!$C$32:$C$42,MATCH(B309,DRIVERS!$A$32:$A$42,0))</f>
        <v>25</v>
      </c>
      <c r="U309" s="5" t="n">
        <f aca="false">J309*INDEX(SUPPLIERS!$E$3:$E$30,MATCH(C309,SUPPLIERS!$A$3:$A$30,0))</f>
        <v>0</v>
      </c>
      <c r="V309" s="5" t="n">
        <v>0</v>
      </c>
      <c r="W309" s="5" t="n">
        <f aca="false">J309+S309+T309+U309+V309</f>
        <v>525.519092582786</v>
      </c>
      <c r="X309" s="9" t="n">
        <f aca="false">W309/J309-1</f>
        <v>0.0510381851655719</v>
      </c>
      <c r="Y309" s="6" t="n">
        <f aca="false">INDEX(DRIVERS!$B$32:$B$42,MATCH(B309,DRIVERS!$A$32:$A$42,0))</f>
        <v>0.3</v>
      </c>
      <c r="Z309" s="5" t="n">
        <f aca="false">W309*(1+Y309)</f>
        <v>683.174820357622</v>
      </c>
      <c r="AA309" s="5" t="n">
        <f aca="false">W309*(1+Y309+DRIVERS!$B$26)*(1+DRIVERS!$B$27)</f>
        <v>794.584867985172</v>
      </c>
      <c r="AB309" s="2" t="s">
        <v>205</v>
      </c>
      <c r="AC309" s="8"/>
      <c r="AD309" s="2" t="s">
        <v>1119</v>
      </c>
    </row>
    <row r="310" customFormat="false" ht="15" hidden="false" customHeight="false" outlineLevel="0" collapsed="false">
      <c r="A310" s="2" t="s">
        <v>1120</v>
      </c>
      <c r="B310" s="2" t="s">
        <v>1116</v>
      </c>
      <c r="C310" s="2" t="s">
        <v>90</v>
      </c>
      <c r="D310" s="2" t="s">
        <v>1121</v>
      </c>
      <c r="F310" s="2" t="s">
        <v>186</v>
      </c>
      <c r="G310" s="2" t="s">
        <v>186</v>
      </c>
      <c r="H310" s="5" t="n">
        <v>200</v>
      </c>
      <c r="I310" s="6" t="n">
        <f aca="false">INDEX(SUPPLIERS!$D$3:$D$30,MATCH(C310,SUPPLIERS!$A$3:$A$30,0))</f>
        <v>0</v>
      </c>
      <c r="J310" s="5" t="n">
        <f aca="false">H310*(1-I310)</f>
        <v>200</v>
      </c>
      <c r="M310" s="5" t="str">
        <f aca="false">IF(K310="","",J310/K310)</f>
        <v/>
      </c>
      <c r="N310" s="2" t="n">
        <v>0.5</v>
      </c>
      <c r="O310" s="13" t="n">
        <v>0.003</v>
      </c>
      <c r="P310" s="2" t="s">
        <v>310</v>
      </c>
      <c r="Q310" s="14" t="n">
        <f aca="false">MAX(N310/DRIVERS!$B$5,O310/DRIVERS!$B$6)</f>
        <v>0.000210170230680114</v>
      </c>
      <c r="R310" s="15" t="n">
        <f aca="false">ROUNDDOWN(1/Q310,0)</f>
        <v>4758</v>
      </c>
      <c r="S310" s="5" t="n">
        <f aca="false">DRIVERS!$B$23*Q310/DRIVERS!$B$24</f>
        <v>1.09097807868452</v>
      </c>
      <c r="T310" s="5" t="n">
        <f aca="false">J310*INDEX(DRIVERS!$C$32:$C$42,MATCH(B310,DRIVERS!$A$32:$A$42,0))</f>
        <v>10</v>
      </c>
      <c r="U310" s="5" t="n">
        <f aca="false">J310*INDEX(SUPPLIERS!$E$3:$E$30,MATCH(C310,SUPPLIERS!$A$3:$A$30,0))</f>
        <v>0</v>
      </c>
      <c r="V310" s="5" t="n">
        <v>0</v>
      </c>
      <c r="W310" s="5" t="n">
        <f aca="false">J310+S310+T310+U310+V310</f>
        <v>211.090978078685</v>
      </c>
      <c r="X310" s="9" t="n">
        <f aca="false">W310/J310-1</f>
        <v>0.0554548903934227</v>
      </c>
      <c r="Y310" s="6" t="n">
        <f aca="false">INDEX(DRIVERS!$B$32:$B$42,MATCH(B310,DRIVERS!$A$32:$A$42,0))</f>
        <v>0.3</v>
      </c>
      <c r="Z310" s="5" t="n">
        <f aca="false">W310*(1+Y310)</f>
        <v>274.41827150229</v>
      </c>
      <c r="AA310" s="5" t="n">
        <f aca="false">W310*(1+Y310+DRIVERS!$B$26)*(1+DRIVERS!$B$27)</f>
        <v>319.169558854971</v>
      </c>
      <c r="AB310" s="2" t="s">
        <v>205</v>
      </c>
      <c r="AC310" s="8"/>
    </row>
    <row r="311" customFormat="false" ht="15" hidden="false" customHeight="false" outlineLevel="0" collapsed="false">
      <c r="A311" s="2" t="s">
        <v>1122</v>
      </c>
      <c r="B311" s="2" t="s">
        <v>1116</v>
      </c>
      <c r="C311" s="2" t="s">
        <v>90</v>
      </c>
      <c r="D311" s="2" t="s">
        <v>1123</v>
      </c>
      <c r="F311" s="2" t="s">
        <v>186</v>
      </c>
      <c r="G311" s="2" t="s">
        <v>186</v>
      </c>
      <c r="H311" s="5" t="n">
        <v>400</v>
      </c>
      <c r="I311" s="6" t="n">
        <f aca="false">INDEX(SUPPLIERS!$D$3:$D$30,MATCH(C311,SUPPLIERS!$A$3:$A$30,0))</f>
        <v>0</v>
      </c>
      <c r="J311" s="5" t="n">
        <f aca="false">H311*(1-I311)</f>
        <v>400</v>
      </c>
      <c r="M311" s="5" t="str">
        <f aca="false">IF(K311="","",J311/K311)</f>
        <v/>
      </c>
      <c r="N311" s="2" t="n">
        <v>0.65</v>
      </c>
      <c r="O311" s="13" t="n">
        <v>0.00372</v>
      </c>
      <c r="P311" s="2" t="s">
        <v>310</v>
      </c>
      <c r="Q311" s="14" t="n">
        <f aca="false">MAX(N311/DRIVERS!$B$5,O311/DRIVERS!$B$6)</f>
        <v>0.000260611086043341</v>
      </c>
      <c r="R311" s="15" t="n">
        <f aca="false">ROUNDDOWN(1/Q311,0)</f>
        <v>3837</v>
      </c>
      <c r="S311" s="5" t="n">
        <f aca="false">DRIVERS!$B$23*Q311/DRIVERS!$B$24</f>
        <v>1.35281281756881</v>
      </c>
      <c r="T311" s="5" t="n">
        <f aca="false">J311*INDEX(DRIVERS!$C$32:$C$42,MATCH(B311,DRIVERS!$A$32:$A$42,0))</f>
        <v>20</v>
      </c>
      <c r="U311" s="5" t="n">
        <f aca="false">J311*INDEX(SUPPLIERS!$E$3:$E$30,MATCH(C311,SUPPLIERS!$A$3:$A$30,0))</f>
        <v>0</v>
      </c>
      <c r="V311" s="5" t="n">
        <v>0</v>
      </c>
      <c r="W311" s="5" t="n">
        <f aca="false">J311+S311+T311+U311+V311</f>
        <v>421.352812817569</v>
      </c>
      <c r="X311" s="9" t="n">
        <f aca="false">W311/J311-1</f>
        <v>0.053382032043922</v>
      </c>
      <c r="Y311" s="6" t="n">
        <f aca="false">INDEX(DRIVERS!$B$32:$B$42,MATCH(B311,DRIVERS!$A$32:$A$42,0))</f>
        <v>0.3</v>
      </c>
      <c r="Z311" s="5" t="n">
        <f aca="false">W311*(1+Y311)</f>
        <v>547.75865666284</v>
      </c>
      <c r="AA311" s="5" t="n">
        <f aca="false">W311*(1+Y311+DRIVERS!$B$26)*(1+DRIVERS!$B$27)</f>
        <v>637.085452980164</v>
      </c>
      <c r="AB311" s="2" t="s">
        <v>205</v>
      </c>
      <c r="AC311" s="8"/>
    </row>
    <row r="312" customFormat="false" ht="15" hidden="false" customHeight="false" outlineLevel="0" collapsed="false">
      <c r="A312" s="2" t="s">
        <v>1124</v>
      </c>
      <c r="B312" s="2" t="s">
        <v>1116</v>
      </c>
      <c r="C312" s="2" t="s">
        <v>90</v>
      </c>
      <c r="D312" s="2" t="s">
        <v>1125</v>
      </c>
      <c r="F312" s="2" t="s">
        <v>186</v>
      </c>
      <c r="G312" s="2" t="s">
        <v>186</v>
      </c>
      <c r="H312" s="5" t="n">
        <v>800</v>
      </c>
      <c r="I312" s="6" t="n">
        <f aca="false">INDEX(SUPPLIERS!$D$3:$D$30,MATCH(C312,SUPPLIERS!$A$3:$A$30,0))</f>
        <v>0</v>
      </c>
      <c r="J312" s="5" t="n">
        <f aca="false">H312*(1-I312)</f>
        <v>800</v>
      </c>
      <c r="M312" s="5" t="str">
        <f aca="false">IF(K312="","",J312/K312)</f>
        <v/>
      </c>
      <c r="N312" s="2" t="n">
        <v>1.25</v>
      </c>
      <c r="O312" s="13" t="n">
        <v>0.00783</v>
      </c>
      <c r="P312" s="2" t="s">
        <v>310</v>
      </c>
      <c r="Q312" s="14" t="n">
        <f aca="false">MAX(N312/DRIVERS!$B$5,O312/DRIVERS!$B$6)</f>
        <v>0.000548544302075097</v>
      </c>
      <c r="R312" s="15" t="n">
        <f aca="false">ROUNDDOWN(1/Q312,0)</f>
        <v>1823</v>
      </c>
      <c r="S312" s="5" t="n">
        <f aca="false">DRIVERS!$B$23*Q312/DRIVERS!$B$24</f>
        <v>2.84745278536661</v>
      </c>
      <c r="T312" s="5" t="n">
        <f aca="false">J312*INDEX(DRIVERS!$C$32:$C$42,MATCH(B312,DRIVERS!$A$32:$A$42,0))</f>
        <v>40</v>
      </c>
      <c r="U312" s="5" t="n">
        <f aca="false">J312*INDEX(SUPPLIERS!$E$3:$E$30,MATCH(C312,SUPPLIERS!$A$3:$A$30,0))</f>
        <v>0</v>
      </c>
      <c r="V312" s="5" t="n">
        <v>0</v>
      </c>
      <c r="W312" s="5" t="n">
        <f aca="false">J312+S312+T312+U312+V312</f>
        <v>842.847452785367</v>
      </c>
      <c r="X312" s="9" t="n">
        <f aca="false">W312/J312-1</f>
        <v>0.0535593159817083</v>
      </c>
      <c r="Y312" s="6" t="n">
        <f aca="false">INDEX(DRIVERS!$B$32:$B$42,MATCH(B312,DRIVERS!$A$32:$A$42,0))</f>
        <v>0.3</v>
      </c>
      <c r="Z312" s="5" t="n">
        <f aca="false">W312*(1+Y312)</f>
        <v>1095.70168862098</v>
      </c>
      <c r="AA312" s="5" t="n">
        <f aca="false">W312*(1+Y312+DRIVERS!$B$26)*(1+DRIVERS!$B$27)</f>
        <v>1274.38534861147</v>
      </c>
      <c r="AB312" s="2" t="s">
        <v>205</v>
      </c>
      <c r="AC312" s="8"/>
    </row>
    <row r="313" customFormat="false" ht="15" hidden="false" customHeight="false" outlineLevel="0" collapsed="false">
      <c r="A313" s="2" t="s">
        <v>1126</v>
      </c>
      <c r="B313" s="2" t="s">
        <v>1116</v>
      </c>
      <c r="C313" s="2" t="s">
        <v>90</v>
      </c>
      <c r="D313" s="2" t="s">
        <v>1127</v>
      </c>
      <c r="F313" s="2" t="s">
        <v>186</v>
      </c>
      <c r="G313" s="2" t="s">
        <v>186</v>
      </c>
      <c r="H313" s="5" t="n">
        <v>1000</v>
      </c>
      <c r="I313" s="6" t="n">
        <f aca="false">INDEX(SUPPLIERS!$D$3:$D$30,MATCH(C313,SUPPLIERS!$A$3:$A$30,0))</f>
        <v>0</v>
      </c>
      <c r="J313" s="5" t="n">
        <f aca="false">H313*(1-I313)</f>
        <v>1000</v>
      </c>
      <c r="M313" s="5" t="str">
        <f aca="false">IF(K313="","",J313/K313)</f>
        <v/>
      </c>
      <c r="N313" s="2" t="n">
        <v>3.8</v>
      </c>
      <c r="O313" s="13" t="n">
        <v>0.0912</v>
      </c>
      <c r="P313" s="2" t="s">
        <v>310</v>
      </c>
      <c r="Q313" s="14" t="n">
        <f aca="false">MAX(N313/DRIVERS!$B$5,O313/DRIVERS!$B$6)</f>
        <v>0.00638917501267546</v>
      </c>
      <c r="R313" s="15" t="n">
        <f aca="false">ROUNDDOWN(1/Q313,0)</f>
        <v>156</v>
      </c>
      <c r="S313" s="5" t="n">
        <f aca="false">DRIVERS!$B$23*Q313/DRIVERS!$B$24</f>
        <v>33.1657335920095</v>
      </c>
      <c r="T313" s="5" t="n">
        <f aca="false">J313*INDEX(DRIVERS!$C$32:$C$42,MATCH(B313,DRIVERS!$A$32:$A$42,0))</f>
        <v>50</v>
      </c>
      <c r="U313" s="5" t="n">
        <f aca="false">J313*INDEX(SUPPLIERS!$E$3:$E$30,MATCH(C313,SUPPLIERS!$A$3:$A$30,0))</f>
        <v>0</v>
      </c>
      <c r="V313" s="5" t="n">
        <v>0</v>
      </c>
      <c r="W313" s="5" t="n">
        <f aca="false">J313+S313+T313+U313+V313</f>
        <v>1083.16573359201</v>
      </c>
      <c r="X313" s="9" t="n">
        <f aca="false">W313/J313-1</f>
        <v>0.0831657335920095</v>
      </c>
      <c r="Y313" s="6" t="n">
        <f aca="false">INDEX(DRIVERS!$B$32:$B$42,MATCH(B313,DRIVERS!$A$32:$A$42,0))</f>
        <v>0.3</v>
      </c>
      <c r="Z313" s="5" t="n">
        <f aca="false">W313*(1+Y313)</f>
        <v>1408.11545366961</v>
      </c>
      <c r="AA313" s="5" t="n">
        <f aca="false">W313*(1+Y313+DRIVERS!$B$26)*(1+DRIVERS!$B$27)</f>
        <v>1637.74658919112</v>
      </c>
      <c r="AB313" s="2" t="s">
        <v>205</v>
      </c>
      <c r="AC313" s="8"/>
    </row>
    <row r="314" customFormat="false" ht="15" hidden="false" customHeight="false" outlineLevel="0" collapsed="false">
      <c r="A314" s="2" t="s">
        <v>1128</v>
      </c>
      <c r="B314" s="2" t="s">
        <v>1116</v>
      </c>
      <c r="C314" s="2" t="s">
        <v>90</v>
      </c>
      <c r="D314" s="2" t="s">
        <v>1129</v>
      </c>
      <c r="F314" s="2" t="s">
        <v>186</v>
      </c>
      <c r="G314" s="2" t="s">
        <v>186</v>
      </c>
      <c r="H314" s="5" t="n">
        <v>2000</v>
      </c>
      <c r="I314" s="6" t="n">
        <f aca="false">INDEX(SUPPLIERS!$D$3:$D$30,MATCH(C314,SUPPLIERS!$A$3:$A$30,0))</f>
        <v>0</v>
      </c>
      <c r="J314" s="5" t="n">
        <f aca="false">H314*(1-I314)</f>
        <v>2000</v>
      </c>
      <c r="M314" s="5" t="str">
        <f aca="false">IF(K314="","",J314/K314)</f>
        <v/>
      </c>
      <c r="N314" s="2" t="n">
        <v>3.5</v>
      </c>
      <c r="O314" s="13" t="n">
        <v>0.01946</v>
      </c>
      <c r="P314" s="2" t="s">
        <v>310</v>
      </c>
      <c r="Q314" s="14" t="n">
        <f aca="false">MAX(N314/DRIVERS!$B$5,O314/DRIVERS!$B$6)</f>
        <v>0.00136330422967834</v>
      </c>
      <c r="R314" s="15" t="n">
        <f aca="false">ROUNDDOWN(1/Q314,0)</f>
        <v>733</v>
      </c>
      <c r="S314" s="5" t="n">
        <f aca="false">DRIVERS!$B$23*Q314/DRIVERS!$B$24</f>
        <v>7.07681113706694</v>
      </c>
      <c r="T314" s="5" t="n">
        <f aca="false">J314*INDEX(DRIVERS!$C$32:$C$42,MATCH(B314,DRIVERS!$A$32:$A$42,0))</f>
        <v>100</v>
      </c>
      <c r="U314" s="5" t="n">
        <f aca="false">J314*INDEX(SUPPLIERS!$E$3:$E$30,MATCH(C314,SUPPLIERS!$A$3:$A$30,0))</f>
        <v>0</v>
      </c>
      <c r="V314" s="5" t="n">
        <v>0</v>
      </c>
      <c r="W314" s="5" t="n">
        <f aca="false">J314+S314+T314+U314+V314</f>
        <v>2107.07681113707</v>
      </c>
      <c r="X314" s="9" t="n">
        <f aca="false">W314/J314-1</f>
        <v>0.0535384055685335</v>
      </c>
      <c r="Y314" s="6" t="n">
        <f aca="false">INDEX(DRIVERS!$B$32:$B$42,MATCH(B314,DRIVERS!$A$32:$A$42,0))</f>
        <v>0.3</v>
      </c>
      <c r="Z314" s="5" t="n">
        <f aca="false">W314*(1+Y314)</f>
        <v>2739.19985447819</v>
      </c>
      <c r="AA314" s="5" t="n">
        <f aca="false">W314*(1+Y314+DRIVERS!$B$26)*(1+DRIVERS!$B$27)</f>
        <v>3185.90013843925</v>
      </c>
      <c r="AB314" s="2" t="s">
        <v>205</v>
      </c>
      <c r="AC314" s="8"/>
    </row>
    <row r="315" customFormat="false" ht="15" hidden="false" customHeight="false" outlineLevel="0" collapsed="false">
      <c r="A315" s="2" t="s">
        <v>1130</v>
      </c>
      <c r="B315" s="2" t="s">
        <v>1116</v>
      </c>
      <c r="C315" s="2" t="s">
        <v>90</v>
      </c>
      <c r="D315" s="2" t="s">
        <v>1131</v>
      </c>
      <c r="E315" s="2" t="s">
        <v>1132</v>
      </c>
      <c r="F315" s="2" t="s">
        <v>635</v>
      </c>
      <c r="G315" s="2" t="s">
        <v>635</v>
      </c>
      <c r="H315" s="5" t="n">
        <v>4000</v>
      </c>
      <c r="I315" s="6" t="n">
        <f aca="false">INDEX(SUPPLIERS!$D$3:$D$30,MATCH(C315,SUPPLIERS!$A$3:$A$30,0))</f>
        <v>0</v>
      </c>
      <c r="J315" s="5" t="n">
        <f aca="false">H315*(1-I315)</f>
        <v>4000</v>
      </c>
      <c r="M315" s="5" t="str">
        <f aca="false">IF(K315="","",J315/K315)</f>
        <v/>
      </c>
      <c r="N315" s="2" t="n">
        <v>15.6</v>
      </c>
      <c r="O315" s="13" t="n">
        <v>0.06404</v>
      </c>
      <c r="P315" s="2" t="s">
        <v>310</v>
      </c>
      <c r="Q315" s="14" t="n">
        <f aca="false">MAX(N315/DRIVERS!$B$5,O315/DRIVERS!$B$6)</f>
        <v>0.0052</v>
      </c>
      <c r="R315" s="15" t="n">
        <f aca="false">ROUNDDOWN(1/Q315,0)</f>
        <v>192</v>
      </c>
      <c r="S315" s="5" t="n">
        <f aca="false">DRIVERS!$B$23*Q315/DRIVERS!$B$24</f>
        <v>26.9928143048677</v>
      </c>
      <c r="T315" s="5" t="n">
        <f aca="false">J315*INDEX(DRIVERS!$C$32:$C$42,MATCH(B315,DRIVERS!$A$32:$A$42,0))</f>
        <v>200</v>
      </c>
      <c r="U315" s="5" t="n">
        <f aca="false">J315*INDEX(SUPPLIERS!$E$3:$E$30,MATCH(C315,SUPPLIERS!$A$3:$A$30,0))</f>
        <v>0</v>
      </c>
      <c r="V315" s="5" t="n">
        <v>0</v>
      </c>
      <c r="W315" s="5" t="n">
        <f aca="false">J315+S315+T315+U315+V315</f>
        <v>4226.99281430487</v>
      </c>
      <c r="X315" s="9" t="n">
        <f aca="false">W315/J315-1</f>
        <v>0.0567482035762168</v>
      </c>
      <c r="Y315" s="6" t="n">
        <f aca="false">INDEX(DRIVERS!$B$32:$B$42,MATCH(B315,DRIVERS!$A$32:$A$42,0))</f>
        <v>0.3</v>
      </c>
      <c r="Z315" s="5" t="n">
        <f aca="false">W315*(1+Y315)</f>
        <v>5495.09065859633</v>
      </c>
      <c r="AA315" s="5" t="n">
        <f aca="false">W315*(1+Y315+DRIVERS!$B$26)*(1+DRIVERS!$B$27)</f>
        <v>6391.21313522896</v>
      </c>
      <c r="AB315" s="2" t="s">
        <v>205</v>
      </c>
      <c r="AC315" s="8"/>
    </row>
    <row r="316" customFormat="false" ht="15" hidden="false" customHeight="false" outlineLevel="0" collapsed="false">
      <c r="A316" s="2" t="s">
        <v>1133</v>
      </c>
      <c r="B316" s="2" t="s">
        <v>1116</v>
      </c>
      <c r="C316" s="2" t="s">
        <v>90</v>
      </c>
      <c r="D316" s="2" t="s">
        <v>1134</v>
      </c>
      <c r="F316" s="2" t="s">
        <v>186</v>
      </c>
      <c r="G316" s="2" t="s">
        <v>186</v>
      </c>
      <c r="H316" s="5" t="n">
        <v>40</v>
      </c>
      <c r="I316" s="6" t="n">
        <f aca="false">INDEX(SUPPLIERS!$D$3:$D$30,MATCH(C316,SUPPLIERS!$A$3:$A$30,0))</f>
        <v>0</v>
      </c>
      <c r="J316" s="5" t="n">
        <f aca="false">H316*(1-I316)</f>
        <v>40</v>
      </c>
      <c r="M316" s="5" t="str">
        <f aca="false">IF(K316="","",J316/K316)</f>
        <v/>
      </c>
      <c r="N316" s="2" t="n">
        <v>0.02</v>
      </c>
      <c r="O316" s="13" t="n">
        <v>0.000101</v>
      </c>
      <c r="P316" s="2" t="s">
        <v>1135</v>
      </c>
      <c r="Q316" s="14" t="n">
        <f aca="false">MAX(N316/DRIVERS!$B$5,O316/DRIVERS!$B$6)</f>
        <v>7.07573109956383E-006</v>
      </c>
      <c r="R316" s="15" t="n">
        <f aca="false">ROUNDDOWN(1/Q316,0)</f>
        <v>141328</v>
      </c>
      <c r="S316" s="5" t="n">
        <f aca="false">DRIVERS!$B$23*Q316/DRIVERS!$B$24</f>
        <v>0.0367295953157123</v>
      </c>
      <c r="T316" s="5" t="n">
        <f aca="false">J316*INDEX(DRIVERS!$C$32:$C$42,MATCH(B316,DRIVERS!$A$32:$A$42,0))</f>
        <v>2</v>
      </c>
      <c r="U316" s="5" t="n">
        <f aca="false">J316*INDEX(SUPPLIERS!$E$3:$E$30,MATCH(C316,SUPPLIERS!$A$3:$A$30,0))</f>
        <v>0</v>
      </c>
      <c r="V316" s="5" t="n">
        <v>0</v>
      </c>
      <c r="W316" s="5" t="n">
        <f aca="false">J316+S316+T316+U316+V316</f>
        <v>42.0367295953157</v>
      </c>
      <c r="X316" s="9" t="n">
        <f aca="false">W316/J316-1</f>
        <v>0.0509182398828929</v>
      </c>
      <c r="Y316" s="6" t="n">
        <f aca="false">INDEX(DRIVERS!$B$32:$B$42,MATCH(B316,DRIVERS!$A$32:$A$42,0))</f>
        <v>0.3</v>
      </c>
      <c r="Z316" s="5" t="n">
        <f aca="false">W316*(1+Y316)</f>
        <v>54.6477484739104</v>
      </c>
      <c r="AA316" s="5" t="n">
        <f aca="false">W316*(1+Y316+DRIVERS!$B$26)*(1+DRIVERS!$B$27)</f>
        <v>63.5595351481174</v>
      </c>
      <c r="AB316" s="2" t="s">
        <v>205</v>
      </c>
      <c r="AC316" s="8"/>
    </row>
    <row r="317" customFormat="false" ht="15" hidden="false" customHeight="false" outlineLevel="0" collapsed="false">
      <c r="A317" s="2" t="s">
        <v>1136</v>
      </c>
      <c r="B317" s="2" t="s">
        <v>1116</v>
      </c>
      <c r="C317" s="2" t="s">
        <v>90</v>
      </c>
      <c r="D317" s="2" t="s">
        <v>1137</v>
      </c>
      <c r="E317" s="2" t="s">
        <v>1138</v>
      </c>
      <c r="F317" s="2" t="s">
        <v>753</v>
      </c>
      <c r="G317" s="2" t="s">
        <v>753</v>
      </c>
      <c r="H317" s="5" t="n">
        <v>52</v>
      </c>
      <c r="I317" s="6" t="n">
        <f aca="false">INDEX(SUPPLIERS!$D$3:$D$30,MATCH(C317,SUPPLIERS!$A$3:$A$30,0))</f>
        <v>0</v>
      </c>
      <c r="J317" s="5" t="n">
        <f aca="false">H317*(1-I317)</f>
        <v>52</v>
      </c>
      <c r="M317" s="5" t="str">
        <f aca="false">IF(K317="","",J317/K317)</f>
        <v/>
      </c>
      <c r="N317" s="2" t="n">
        <v>0.06</v>
      </c>
      <c r="O317" s="13" t="n">
        <v>0.000127</v>
      </c>
      <c r="P317" s="2" t="s">
        <v>1139</v>
      </c>
      <c r="Q317" s="14" t="n">
        <f aca="false">MAX(N317/DRIVERS!$B$5,O317/DRIVERS!$B$6)</f>
        <v>2E-005</v>
      </c>
      <c r="R317" s="15" t="n">
        <f aca="false">ROUNDDOWN(1/Q317,0)</f>
        <v>50000</v>
      </c>
      <c r="S317" s="5" t="n">
        <f aca="false">DRIVERS!$B$23*Q317/DRIVERS!$B$24</f>
        <v>0.103818516557184</v>
      </c>
      <c r="T317" s="5" t="n">
        <f aca="false">J317*INDEX(DRIVERS!$C$32:$C$42,MATCH(B317,DRIVERS!$A$32:$A$42,0))</f>
        <v>2.6</v>
      </c>
      <c r="U317" s="5" t="n">
        <f aca="false">J317*INDEX(SUPPLIERS!$E$3:$E$30,MATCH(C317,SUPPLIERS!$A$3:$A$30,0))</f>
        <v>0</v>
      </c>
      <c r="V317" s="5" t="n">
        <v>0</v>
      </c>
      <c r="W317" s="5" t="n">
        <f aca="false">J317+S317+T317+U317+V317</f>
        <v>54.7038185165572</v>
      </c>
      <c r="X317" s="9" t="n">
        <f aca="false">W317/J317-1</f>
        <v>0.051996509933792</v>
      </c>
      <c r="Y317" s="6" t="n">
        <f aca="false">INDEX(DRIVERS!$B$32:$B$42,MATCH(B317,DRIVERS!$A$32:$A$42,0))</f>
        <v>0.3</v>
      </c>
      <c r="Z317" s="5" t="n">
        <f aca="false">W317*(1+Y317)</f>
        <v>71.1149640715243</v>
      </c>
      <c r="AA317" s="5" t="n">
        <f aca="false">W317*(1+Y317+DRIVERS!$B$26)*(1+DRIVERS!$B$27)</f>
        <v>82.7121735970345</v>
      </c>
      <c r="AB317" s="2" t="s">
        <v>205</v>
      </c>
      <c r="AC317" s="8"/>
    </row>
    <row r="318" customFormat="false" ht="15" hidden="false" customHeight="false" outlineLevel="0" collapsed="false">
      <c r="A318" s="2" t="s">
        <v>1140</v>
      </c>
      <c r="B318" s="2" t="s">
        <v>1116</v>
      </c>
      <c r="C318" s="2" t="s">
        <v>90</v>
      </c>
      <c r="D318" s="2" t="s">
        <v>1141</v>
      </c>
      <c r="E318" s="2" t="s">
        <v>826</v>
      </c>
      <c r="F318" s="2" t="s">
        <v>753</v>
      </c>
      <c r="G318" s="2" t="s">
        <v>753</v>
      </c>
      <c r="H318" s="5" t="n">
        <v>88</v>
      </c>
      <c r="I318" s="6" t="n">
        <f aca="false">INDEX(SUPPLIERS!$D$3:$D$30,MATCH(C318,SUPPLIERS!$A$3:$A$30,0))</f>
        <v>0</v>
      </c>
      <c r="J318" s="5" t="n">
        <f aca="false">H318*(1-I318)</f>
        <v>88</v>
      </c>
      <c r="M318" s="5" t="str">
        <f aca="false">IF(K318="","",J318/K318)</f>
        <v/>
      </c>
      <c r="N318" s="2" t="n">
        <v>0.1</v>
      </c>
      <c r="O318" s="13" t="n">
        <v>0.00036</v>
      </c>
      <c r="P318" s="2" t="s">
        <v>1139</v>
      </c>
      <c r="Q318" s="14" t="n">
        <f aca="false">MAX(N318/DRIVERS!$B$5,O318/DRIVERS!$B$6)</f>
        <v>3.33333333333333E-005</v>
      </c>
      <c r="R318" s="15" t="n">
        <f aca="false">ROUNDDOWN(1/Q318,0)</f>
        <v>30000</v>
      </c>
      <c r="S318" s="5" t="n">
        <f aca="false">DRIVERS!$B$23*Q318/DRIVERS!$B$24</f>
        <v>0.173030860928639</v>
      </c>
      <c r="T318" s="5" t="n">
        <f aca="false">J318*INDEX(DRIVERS!$C$32:$C$42,MATCH(B318,DRIVERS!$A$32:$A$42,0))</f>
        <v>4.4</v>
      </c>
      <c r="U318" s="5" t="n">
        <f aca="false">J318*INDEX(SUPPLIERS!$E$3:$E$30,MATCH(C318,SUPPLIERS!$A$3:$A$30,0))</f>
        <v>0</v>
      </c>
      <c r="V318" s="5" t="n">
        <v>0</v>
      </c>
      <c r="W318" s="5" t="n">
        <f aca="false">J318+S318+T318+U318+V318</f>
        <v>92.5730308609286</v>
      </c>
      <c r="X318" s="9" t="n">
        <f aca="false">W318/J318-1</f>
        <v>0.05196625978328</v>
      </c>
      <c r="Y318" s="6" t="n">
        <f aca="false">INDEX(DRIVERS!$B$32:$B$42,MATCH(B318,DRIVERS!$A$32:$A$42,0))</f>
        <v>0.3</v>
      </c>
      <c r="Z318" s="5" t="n">
        <f aca="false">W318*(1+Y318)</f>
        <v>120.344940119207</v>
      </c>
      <c r="AA318" s="5" t="n">
        <f aca="false">W318*(1+Y318+DRIVERS!$B$26)*(1+DRIVERS!$B$27)</f>
        <v>139.970422661724</v>
      </c>
      <c r="AB318" s="2" t="s">
        <v>205</v>
      </c>
      <c r="AC318" s="8"/>
    </row>
    <row r="319" customFormat="false" ht="15" hidden="false" customHeight="false" outlineLevel="0" collapsed="false">
      <c r="A319" s="2" t="s">
        <v>76</v>
      </c>
      <c r="B319" s="2" t="s">
        <v>1116</v>
      </c>
      <c r="C319" s="2" t="s">
        <v>90</v>
      </c>
      <c r="D319" s="2" t="s">
        <v>1142</v>
      </c>
      <c r="E319" s="2" t="s">
        <v>1143</v>
      </c>
      <c r="F319" s="2" t="s">
        <v>753</v>
      </c>
      <c r="G319" s="2" t="s">
        <v>753</v>
      </c>
      <c r="H319" s="5" t="n">
        <v>100</v>
      </c>
      <c r="I319" s="6" t="n">
        <f aca="false">INDEX(SUPPLIERS!$D$3:$D$30,MATCH(C319,SUPPLIERS!$A$3:$A$30,0))</f>
        <v>0</v>
      </c>
      <c r="J319" s="5" t="n">
        <f aca="false">H319*(1-I319)</f>
        <v>100</v>
      </c>
      <c r="M319" s="5" t="str">
        <f aca="false">IF(K319="","",J319/K319)</f>
        <v/>
      </c>
      <c r="N319" s="2" t="n">
        <v>0.13</v>
      </c>
      <c r="O319" s="13" t="n">
        <v>0.00052</v>
      </c>
      <c r="P319" s="2" t="s">
        <v>1139</v>
      </c>
      <c r="Q319" s="14" t="n">
        <f aca="false">MAX(N319/DRIVERS!$B$5,O319/DRIVERS!$B$6)</f>
        <v>4.33333333333333E-005</v>
      </c>
      <c r="R319" s="15" t="n">
        <f aca="false">ROUNDDOWN(1/Q319,0)</f>
        <v>23076</v>
      </c>
      <c r="S319" s="5" t="n">
        <f aca="false">DRIVERS!$B$23*Q319/DRIVERS!$B$24</f>
        <v>0.224940119207231</v>
      </c>
      <c r="T319" s="5" t="n">
        <f aca="false">J319*INDEX(DRIVERS!$C$32:$C$42,MATCH(B319,DRIVERS!$A$32:$A$42,0))</f>
        <v>5</v>
      </c>
      <c r="U319" s="5" t="n">
        <f aca="false">J319*INDEX(SUPPLIERS!$E$3:$E$30,MATCH(C319,SUPPLIERS!$A$3:$A$30,0))</f>
        <v>0</v>
      </c>
      <c r="V319" s="5" t="n">
        <v>0</v>
      </c>
      <c r="W319" s="5" t="n">
        <f aca="false">J319+S319+T319+U319+V319</f>
        <v>105.224940119207</v>
      </c>
      <c r="X319" s="9" t="n">
        <f aca="false">W319/J319-1</f>
        <v>0.0522494011920722</v>
      </c>
      <c r="Y319" s="6" t="n">
        <f aca="false">INDEX(DRIVERS!$B$32:$B$42,MATCH(B319,DRIVERS!$A$32:$A$42,0))</f>
        <v>0.3</v>
      </c>
      <c r="Z319" s="5" t="n">
        <f aca="false">W319*(1+Y319)</f>
        <v>136.792422154969</v>
      </c>
      <c r="AA319" s="5" t="n">
        <f aca="false">W319*(1+Y319+DRIVERS!$B$26)*(1+DRIVERS!$B$27)</f>
        <v>159.100109460241</v>
      </c>
      <c r="AB319" s="2" t="s">
        <v>205</v>
      </c>
      <c r="AC319" s="8"/>
    </row>
    <row r="320" customFormat="false" ht="15" hidden="false" customHeight="false" outlineLevel="0" collapsed="false">
      <c r="A320" s="2" t="s">
        <v>1144</v>
      </c>
      <c r="B320" s="2" t="s">
        <v>1116</v>
      </c>
      <c r="C320" s="2" t="s">
        <v>90</v>
      </c>
      <c r="D320" s="2" t="s">
        <v>1145</v>
      </c>
      <c r="F320" s="2" t="s">
        <v>186</v>
      </c>
      <c r="G320" s="2" t="s">
        <v>186</v>
      </c>
      <c r="H320" s="5" t="n">
        <v>200</v>
      </c>
      <c r="I320" s="6" t="n">
        <f aca="false">INDEX(SUPPLIERS!$D$3:$D$30,MATCH(C320,SUPPLIERS!$A$3:$A$30,0))</f>
        <v>0</v>
      </c>
      <c r="J320" s="5" t="n">
        <f aca="false">H320*(1-I320)</f>
        <v>200</v>
      </c>
      <c r="M320" s="5" t="str">
        <f aca="false">IF(K320="","",J320/K320)</f>
        <v/>
      </c>
      <c r="N320" s="2" t="n">
        <v>1</v>
      </c>
      <c r="O320" s="13" t="n">
        <v>0.005</v>
      </c>
      <c r="P320" s="2" t="s">
        <v>1146</v>
      </c>
      <c r="Q320" s="14" t="n">
        <f aca="false">MAX(N320/DRIVERS!$B$5,O320/DRIVERS!$B$6)</f>
        <v>0.000350283717800189</v>
      </c>
      <c r="R320" s="15" t="n">
        <f aca="false">ROUNDDOWN(1/Q320,0)</f>
        <v>2854</v>
      </c>
      <c r="S320" s="5" t="n">
        <f aca="false">DRIVERS!$B$23*Q320/DRIVERS!$B$24</f>
        <v>1.81829679780754</v>
      </c>
      <c r="T320" s="5" t="n">
        <f aca="false">J320*INDEX(DRIVERS!$C$32:$C$42,MATCH(B320,DRIVERS!$A$32:$A$42,0))</f>
        <v>10</v>
      </c>
      <c r="U320" s="5" t="n">
        <f aca="false">J320*INDEX(SUPPLIERS!$E$3:$E$30,MATCH(C320,SUPPLIERS!$A$3:$A$30,0))</f>
        <v>0</v>
      </c>
      <c r="V320" s="5" t="n">
        <v>0</v>
      </c>
      <c r="W320" s="5" t="n">
        <f aca="false">J320+S320+T320+U320+V320</f>
        <v>211.818296797808</v>
      </c>
      <c r="X320" s="9" t="n">
        <f aca="false">W320/J320-1</f>
        <v>0.0590914839890377</v>
      </c>
      <c r="Y320" s="6" t="n">
        <f aca="false">INDEX(DRIVERS!$B$32:$B$42,MATCH(B320,DRIVERS!$A$32:$A$42,0))</f>
        <v>0.3</v>
      </c>
      <c r="Z320" s="5" t="n">
        <f aca="false">W320*(1+Y320)</f>
        <v>275.36378583715</v>
      </c>
      <c r="AA320" s="5" t="n">
        <f aca="false">W320*(1+Y320+DRIVERS!$B$26)*(1+DRIVERS!$B$27)</f>
        <v>320.269264758285</v>
      </c>
      <c r="AB320" s="2" t="s">
        <v>205</v>
      </c>
      <c r="AC320" s="8"/>
    </row>
    <row r="321" customFormat="false" ht="15" hidden="false" customHeight="false" outlineLevel="0" collapsed="false">
      <c r="A321" s="2" t="s">
        <v>1147</v>
      </c>
      <c r="B321" s="2" t="s">
        <v>1116</v>
      </c>
      <c r="C321" s="2" t="s">
        <v>90</v>
      </c>
      <c r="D321" s="2" t="s">
        <v>1148</v>
      </c>
      <c r="F321" s="2" t="s">
        <v>186</v>
      </c>
      <c r="G321" s="2" t="s">
        <v>186</v>
      </c>
      <c r="H321" s="5" t="n">
        <v>300</v>
      </c>
      <c r="I321" s="6" t="n">
        <f aca="false">INDEX(SUPPLIERS!$D$3:$D$30,MATCH(C321,SUPPLIERS!$A$3:$A$30,0))</f>
        <v>0</v>
      </c>
      <c r="J321" s="5" t="n">
        <f aca="false">H321*(1-I321)</f>
        <v>300</v>
      </c>
      <c r="M321" s="5" t="str">
        <f aca="false">IF(K321="","",J321/K321)</f>
        <v/>
      </c>
      <c r="N321" s="2" t="n">
        <v>1</v>
      </c>
      <c r="O321" s="13" t="n">
        <v>0.008</v>
      </c>
      <c r="P321" s="2" t="s">
        <v>1146</v>
      </c>
      <c r="Q321" s="14" t="n">
        <f aca="false">MAX(N321/DRIVERS!$B$5,O321/DRIVERS!$B$6)</f>
        <v>0.000560453948480303</v>
      </c>
      <c r="R321" s="15" t="n">
        <f aca="false">ROUNDDOWN(1/Q321,0)</f>
        <v>1784</v>
      </c>
      <c r="S321" s="5" t="n">
        <f aca="false">DRIVERS!$B$23*Q321/DRIVERS!$B$24</f>
        <v>2.90927487649206</v>
      </c>
      <c r="T321" s="5" t="n">
        <f aca="false">J321*INDEX(DRIVERS!$C$32:$C$42,MATCH(B321,DRIVERS!$A$32:$A$42,0))</f>
        <v>15</v>
      </c>
      <c r="U321" s="5" t="n">
        <f aca="false">J321*INDEX(SUPPLIERS!$E$3:$E$30,MATCH(C321,SUPPLIERS!$A$3:$A$30,0))</f>
        <v>0</v>
      </c>
      <c r="V321" s="5" t="n">
        <v>0</v>
      </c>
      <c r="W321" s="5" t="n">
        <f aca="false">J321+S321+T321+U321+V321</f>
        <v>317.909274876492</v>
      </c>
      <c r="X321" s="9" t="n">
        <f aca="false">W321/J321-1</f>
        <v>0.0596975829216402</v>
      </c>
      <c r="Y321" s="6" t="n">
        <f aca="false">INDEX(DRIVERS!$B$32:$B$42,MATCH(B321,DRIVERS!$A$32:$A$42,0))</f>
        <v>0.3</v>
      </c>
      <c r="Z321" s="5" t="n">
        <f aca="false">W321*(1+Y321)</f>
        <v>413.28205733944</v>
      </c>
      <c r="AA321" s="5" t="n">
        <f aca="false">W321*(1+Y321+DRIVERS!$B$26)*(1+DRIVERS!$B$27)</f>
        <v>480.678823613256</v>
      </c>
      <c r="AB321" s="2" t="s">
        <v>205</v>
      </c>
      <c r="AC321" s="8"/>
    </row>
    <row r="322" customFormat="false" ht="15" hidden="false" customHeight="false" outlineLevel="0" collapsed="false">
      <c r="A322" s="2" t="s">
        <v>1149</v>
      </c>
      <c r="B322" s="2" t="s">
        <v>1116</v>
      </c>
      <c r="C322" s="2" t="s">
        <v>90</v>
      </c>
      <c r="D322" s="2" t="s">
        <v>1150</v>
      </c>
      <c r="F322" s="2" t="s">
        <v>186</v>
      </c>
      <c r="G322" s="2" t="s">
        <v>186</v>
      </c>
      <c r="H322" s="5" t="n">
        <v>400</v>
      </c>
      <c r="I322" s="6" t="n">
        <f aca="false">INDEX(SUPPLIERS!$D$3:$D$30,MATCH(C322,SUPPLIERS!$A$3:$A$30,0))</f>
        <v>0</v>
      </c>
      <c r="J322" s="5" t="n">
        <f aca="false">H322*(1-I322)</f>
        <v>400</v>
      </c>
      <c r="M322" s="5" t="str">
        <f aca="false">IF(K322="","",J322/K322)</f>
        <v/>
      </c>
      <c r="N322" s="2" t="n">
        <v>1</v>
      </c>
      <c r="O322" s="13" t="n">
        <v>0.0128</v>
      </c>
      <c r="P322" s="2" t="s">
        <v>1146</v>
      </c>
      <c r="Q322" s="14" t="n">
        <f aca="false">MAX(N322/DRIVERS!$B$5,O322/DRIVERS!$B$6)</f>
        <v>0.000896726317568485</v>
      </c>
      <c r="R322" s="15" t="n">
        <f aca="false">ROUNDDOWN(1/Q322,0)</f>
        <v>1115</v>
      </c>
      <c r="S322" s="5" t="n">
        <f aca="false">DRIVERS!$B$23*Q322/DRIVERS!$B$24</f>
        <v>4.6548398023873</v>
      </c>
      <c r="T322" s="5" t="n">
        <f aca="false">J322*INDEX(DRIVERS!$C$32:$C$42,MATCH(B322,DRIVERS!$A$32:$A$42,0))</f>
        <v>20</v>
      </c>
      <c r="U322" s="5" t="n">
        <f aca="false">J322*INDEX(SUPPLIERS!$E$3:$E$30,MATCH(C322,SUPPLIERS!$A$3:$A$30,0))</f>
        <v>0</v>
      </c>
      <c r="V322" s="5" t="n">
        <v>0</v>
      </c>
      <c r="W322" s="5" t="n">
        <f aca="false">J322+S322+T322+U322+V322</f>
        <v>424.654839802387</v>
      </c>
      <c r="X322" s="9" t="n">
        <f aca="false">W322/J322-1</f>
        <v>0.0616370995059683</v>
      </c>
      <c r="Y322" s="6" t="n">
        <f aca="false">INDEX(DRIVERS!$B$32:$B$42,MATCH(B322,DRIVERS!$A$32:$A$42,0))</f>
        <v>0.3</v>
      </c>
      <c r="Z322" s="5" t="n">
        <f aca="false">W322*(1+Y322)</f>
        <v>552.051291743104</v>
      </c>
      <c r="AA322" s="5" t="n">
        <f aca="false">W322*(1+Y322+DRIVERS!$B$26)*(1+DRIVERS!$B$27)</f>
        <v>642.07811778121</v>
      </c>
      <c r="AB322" s="2" t="s">
        <v>205</v>
      </c>
      <c r="AC322" s="8"/>
    </row>
    <row r="323" customFormat="false" ht="15" hidden="false" customHeight="false" outlineLevel="0" collapsed="false">
      <c r="A323" s="2" t="s">
        <v>1151</v>
      </c>
      <c r="B323" s="2" t="s">
        <v>1116</v>
      </c>
      <c r="C323" s="2" t="s">
        <v>90</v>
      </c>
      <c r="D323" s="2" t="s">
        <v>1152</v>
      </c>
      <c r="F323" s="2" t="s">
        <v>186</v>
      </c>
      <c r="G323" s="2" t="s">
        <v>186</v>
      </c>
      <c r="H323" s="5" t="n">
        <v>500</v>
      </c>
      <c r="I323" s="6" t="n">
        <f aca="false">INDEX(SUPPLIERS!$D$3:$D$30,MATCH(C323,SUPPLIERS!$A$3:$A$30,0))</f>
        <v>0</v>
      </c>
      <c r="J323" s="5" t="n">
        <f aca="false">H323*(1-I323)</f>
        <v>500</v>
      </c>
      <c r="M323" s="5" t="str">
        <f aca="false">IF(K323="","",J323/K323)</f>
        <v/>
      </c>
      <c r="N323" s="2" t="n">
        <v>1</v>
      </c>
      <c r="O323" s="13" t="n">
        <v>0.01</v>
      </c>
      <c r="P323" s="2" t="s">
        <v>1146</v>
      </c>
      <c r="Q323" s="14" t="n">
        <f aca="false">MAX(N323/DRIVERS!$B$5,O323/DRIVERS!$B$6)</f>
        <v>0.000700567435600379</v>
      </c>
      <c r="R323" s="15" t="n">
        <f aca="false">ROUNDDOWN(1/Q323,0)</f>
        <v>1427</v>
      </c>
      <c r="S323" s="5" t="n">
        <f aca="false">DRIVERS!$B$23*Q323/DRIVERS!$B$24</f>
        <v>3.63659359561508</v>
      </c>
      <c r="T323" s="5" t="n">
        <f aca="false">J323*INDEX(DRIVERS!$C$32:$C$42,MATCH(B323,DRIVERS!$A$32:$A$42,0))</f>
        <v>25</v>
      </c>
      <c r="U323" s="5" t="n">
        <f aca="false">J323*INDEX(SUPPLIERS!$E$3:$E$30,MATCH(C323,SUPPLIERS!$A$3:$A$30,0))</f>
        <v>0</v>
      </c>
      <c r="V323" s="5" t="n">
        <v>0</v>
      </c>
      <c r="W323" s="5" t="n">
        <f aca="false">J323+S323+T323+U323+V323</f>
        <v>528.636593595615</v>
      </c>
      <c r="X323" s="9" t="n">
        <f aca="false">W323/J323-1</f>
        <v>0.0572731871912302</v>
      </c>
      <c r="Y323" s="6" t="n">
        <f aca="false">INDEX(DRIVERS!$B$32:$B$42,MATCH(B323,DRIVERS!$A$32:$A$42,0))</f>
        <v>0.3</v>
      </c>
      <c r="Z323" s="5" t="n">
        <f aca="false">W323*(1+Y323)</f>
        <v>687.2275716743</v>
      </c>
      <c r="AA323" s="5" t="n">
        <f aca="false">W323*(1+Y323+DRIVERS!$B$26)*(1+DRIVERS!$B$27)</f>
        <v>799.29852951657</v>
      </c>
      <c r="AB323" s="2" t="s">
        <v>205</v>
      </c>
      <c r="AC323" s="8"/>
    </row>
    <row r="324" customFormat="false" ht="15" hidden="false" customHeight="false" outlineLevel="0" collapsed="false">
      <c r="A324" s="2" t="s">
        <v>1153</v>
      </c>
      <c r="B324" s="2" t="s">
        <v>1116</v>
      </c>
      <c r="C324" s="2" t="s">
        <v>90</v>
      </c>
      <c r="D324" s="2" t="s">
        <v>1154</v>
      </c>
      <c r="E324" s="2" t="s">
        <v>1138</v>
      </c>
      <c r="F324" s="2" t="s">
        <v>1155</v>
      </c>
      <c r="G324" s="2" t="s">
        <v>1155</v>
      </c>
      <c r="H324" s="5" t="n">
        <v>2500</v>
      </c>
      <c r="I324" s="6" t="n">
        <f aca="false">INDEX(SUPPLIERS!$D$3:$D$30,MATCH(C324,SUPPLIERS!$A$3:$A$30,0))</f>
        <v>0</v>
      </c>
      <c r="J324" s="5" t="n">
        <f aca="false">H324*(1-I324)</f>
        <v>2500</v>
      </c>
      <c r="M324" s="5" t="str">
        <f aca="false">IF(K324="","",J324/K324)</f>
        <v/>
      </c>
      <c r="N324" s="2" t="n">
        <v>3</v>
      </c>
      <c r="O324" s="13" t="n">
        <v>0.00615</v>
      </c>
      <c r="P324" s="2" t="s">
        <v>1156</v>
      </c>
      <c r="Q324" s="14" t="n">
        <f aca="false">MAX(N324/DRIVERS!$B$5,O324/DRIVERS!$B$6)</f>
        <v>0.001</v>
      </c>
      <c r="R324" s="15" t="n">
        <f aca="false">ROUNDDOWN(1/Q324,0)</f>
        <v>1000</v>
      </c>
      <c r="S324" s="5" t="n">
        <f aca="false">DRIVERS!$B$23*Q324/DRIVERS!$B$24</f>
        <v>5.19092582785918</v>
      </c>
      <c r="T324" s="5" t="n">
        <f aca="false">J324*INDEX(DRIVERS!$C$32:$C$42,MATCH(B324,DRIVERS!$A$32:$A$42,0))</f>
        <v>125</v>
      </c>
      <c r="U324" s="5" t="n">
        <f aca="false">J324*INDEX(SUPPLIERS!$E$3:$E$30,MATCH(C324,SUPPLIERS!$A$3:$A$30,0))</f>
        <v>0</v>
      </c>
      <c r="V324" s="5" t="n">
        <v>0</v>
      </c>
      <c r="W324" s="5" t="n">
        <f aca="false">J324+S324+T324+U324+V324</f>
        <v>2630.19092582786</v>
      </c>
      <c r="X324" s="9" t="n">
        <f aca="false">W324/J324-1</f>
        <v>0.0520763703311438</v>
      </c>
      <c r="Y324" s="6" t="n">
        <f aca="false">INDEX(DRIVERS!$B$32:$B$42,MATCH(B324,DRIVERS!$A$32:$A$42,0))</f>
        <v>0.3</v>
      </c>
      <c r="Z324" s="5" t="n">
        <f aca="false">W324*(1+Y324)</f>
        <v>3419.24820357622</v>
      </c>
      <c r="AA324" s="5" t="n">
        <f aca="false">W324*(1+Y324+DRIVERS!$B$26)*(1+DRIVERS!$B$27)</f>
        <v>3976.84867985172</v>
      </c>
      <c r="AB324" s="2" t="s">
        <v>205</v>
      </c>
      <c r="AC324" s="8"/>
    </row>
    <row r="325" customFormat="false" ht="15" hidden="false" customHeight="false" outlineLevel="0" collapsed="false">
      <c r="A325" s="2" t="s">
        <v>1157</v>
      </c>
      <c r="B325" s="2" t="s">
        <v>1116</v>
      </c>
      <c r="C325" s="2" t="s">
        <v>90</v>
      </c>
      <c r="D325" s="2" t="s">
        <v>1158</v>
      </c>
      <c r="E325" s="2" t="s">
        <v>1143</v>
      </c>
      <c r="F325" s="2" t="s">
        <v>1155</v>
      </c>
      <c r="G325" s="2" t="s">
        <v>1155</v>
      </c>
      <c r="H325" s="5" t="n">
        <v>2500</v>
      </c>
      <c r="I325" s="6" t="n">
        <f aca="false">INDEX(SUPPLIERS!$D$3:$D$30,MATCH(C325,SUPPLIERS!$A$3:$A$30,0))</f>
        <v>0</v>
      </c>
      <c r="J325" s="5" t="n">
        <f aca="false">H325*(1-I325)</f>
        <v>2500</v>
      </c>
      <c r="M325" s="5" t="str">
        <f aca="false">IF(K325="","",J325/K325)</f>
        <v/>
      </c>
      <c r="N325" s="2" t="n">
        <v>3.25</v>
      </c>
      <c r="O325" s="13" t="n">
        <v>0.02011</v>
      </c>
      <c r="P325" s="2" t="s">
        <v>1156</v>
      </c>
      <c r="Q325" s="14" t="n">
        <f aca="false">MAX(N325/DRIVERS!$B$5,O325/DRIVERS!$B$6)</f>
        <v>0.00140884111299236</v>
      </c>
      <c r="R325" s="15" t="n">
        <f aca="false">ROUNDDOWN(1/Q325,0)</f>
        <v>709</v>
      </c>
      <c r="S325" s="5" t="n">
        <f aca="false">DRIVERS!$B$23*Q325/DRIVERS!$B$24</f>
        <v>7.31318972078192</v>
      </c>
      <c r="T325" s="5" t="n">
        <f aca="false">J325*INDEX(DRIVERS!$C$32:$C$42,MATCH(B325,DRIVERS!$A$32:$A$42,0))</f>
        <v>125</v>
      </c>
      <c r="U325" s="5" t="n">
        <f aca="false">J325*INDEX(SUPPLIERS!$E$3:$E$30,MATCH(C325,SUPPLIERS!$A$3:$A$30,0))</f>
        <v>0</v>
      </c>
      <c r="V325" s="5" t="n">
        <v>0</v>
      </c>
      <c r="W325" s="5" t="n">
        <f aca="false">J325+S325+T325+U325+V325</f>
        <v>2632.31318972078</v>
      </c>
      <c r="X325" s="9" t="n">
        <f aca="false">W325/J325-1</f>
        <v>0.0529252758883128</v>
      </c>
      <c r="Y325" s="6" t="n">
        <f aca="false">INDEX(DRIVERS!$B$32:$B$42,MATCH(B325,DRIVERS!$A$32:$A$42,0))</f>
        <v>0.3</v>
      </c>
      <c r="Z325" s="5" t="n">
        <f aca="false">W325*(1+Y325)</f>
        <v>3422.00714663702</v>
      </c>
      <c r="AA325" s="5" t="n">
        <f aca="false">W325*(1+Y325+DRIVERS!$B$26)*(1+DRIVERS!$B$27)</f>
        <v>3980.05754285782</v>
      </c>
      <c r="AB325" s="2" t="s">
        <v>205</v>
      </c>
      <c r="AC325" s="8"/>
    </row>
    <row r="326" customFormat="false" ht="15" hidden="false" customHeight="false" outlineLevel="0" collapsed="false">
      <c r="A326" s="2" t="s">
        <v>1159</v>
      </c>
      <c r="B326" s="2" t="s">
        <v>1116</v>
      </c>
      <c r="C326" s="2" t="s">
        <v>90</v>
      </c>
      <c r="D326" s="2" t="s">
        <v>1160</v>
      </c>
      <c r="E326" s="2" t="s">
        <v>826</v>
      </c>
      <c r="F326" s="2" t="s">
        <v>1155</v>
      </c>
      <c r="G326" s="2" t="s">
        <v>1155</v>
      </c>
      <c r="H326" s="5" t="n">
        <v>4200</v>
      </c>
      <c r="I326" s="6" t="n">
        <f aca="false">INDEX(SUPPLIERS!$D$3:$D$30,MATCH(C326,SUPPLIERS!$A$3:$A$30,0))</f>
        <v>0</v>
      </c>
      <c r="J326" s="5" t="n">
        <f aca="false">H326*(1-I326)</f>
        <v>4200</v>
      </c>
      <c r="M326" s="5" t="str">
        <f aca="false">IF(K326="","",J326/K326)</f>
        <v/>
      </c>
      <c r="N326" s="2" t="n">
        <v>5</v>
      </c>
      <c r="O326" s="13" t="n">
        <v>0.0156</v>
      </c>
      <c r="P326" s="2" t="s">
        <v>1156</v>
      </c>
      <c r="Q326" s="14" t="n">
        <f aca="false">MAX(N326/DRIVERS!$B$5,O326/DRIVERS!$B$6)</f>
        <v>0.00166666666666667</v>
      </c>
      <c r="R326" s="15" t="n">
        <f aca="false">ROUNDDOWN(1/Q326,0)</f>
        <v>600</v>
      </c>
      <c r="S326" s="5" t="n">
        <f aca="false">DRIVERS!$B$23*Q326/DRIVERS!$B$24</f>
        <v>8.65154304643196</v>
      </c>
      <c r="T326" s="5" t="n">
        <f aca="false">J326*INDEX(DRIVERS!$C$32:$C$42,MATCH(B326,DRIVERS!$A$32:$A$42,0))</f>
        <v>210</v>
      </c>
      <c r="U326" s="5" t="n">
        <f aca="false">J326*INDEX(SUPPLIERS!$E$3:$E$30,MATCH(C326,SUPPLIERS!$A$3:$A$30,0))</f>
        <v>0</v>
      </c>
      <c r="V326" s="5" t="n">
        <v>0</v>
      </c>
      <c r="W326" s="5" t="n">
        <f aca="false">J326+S326+T326+U326+V326</f>
        <v>4418.65154304643</v>
      </c>
      <c r="X326" s="9" t="n">
        <f aca="false">W326/J326-1</f>
        <v>0.0520598912015315</v>
      </c>
      <c r="Y326" s="6" t="n">
        <f aca="false">INDEX(DRIVERS!$B$32:$B$42,MATCH(B326,DRIVERS!$A$32:$A$42,0))</f>
        <v>0.3</v>
      </c>
      <c r="Z326" s="5" t="n">
        <f aca="false">W326*(1+Y326)</f>
        <v>5744.24700596036</v>
      </c>
      <c r="AA326" s="5" t="n">
        <f aca="false">W326*(1+Y326+DRIVERS!$B$26)*(1+DRIVERS!$B$27)</f>
        <v>6681.00113308621</v>
      </c>
      <c r="AB326" s="2" t="s">
        <v>205</v>
      </c>
      <c r="AC326" s="8"/>
    </row>
    <row r="327" customFormat="false" ht="15" hidden="false" customHeight="false" outlineLevel="0" collapsed="false">
      <c r="A327" s="2" t="s">
        <v>1161</v>
      </c>
      <c r="B327" s="2" t="s">
        <v>1116</v>
      </c>
      <c r="C327" s="2" t="s">
        <v>92</v>
      </c>
      <c r="D327" s="2" t="s">
        <v>1162</v>
      </c>
      <c r="E327" s="2" t="s">
        <v>1163</v>
      </c>
      <c r="F327" s="2" t="s">
        <v>186</v>
      </c>
      <c r="G327" s="2" t="s">
        <v>186</v>
      </c>
      <c r="H327" s="5" t="n">
        <v>3500</v>
      </c>
      <c r="I327" s="6" t="n">
        <f aca="false">INDEX(SUPPLIERS!$D$3:$D$30,MATCH(C327,SUPPLIERS!$A$3:$A$30,0))</f>
        <v>0</v>
      </c>
      <c r="J327" s="5" t="n">
        <f aca="false">H327*(1-I327)</f>
        <v>3500</v>
      </c>
      <c r="M327" s="5" t="str">
        <f aca="false">IF(K327="","",J327/K327)</f>
        <v/>
      </c>
      <c r="N327" s="2" t="n">
        <v>4.3</v>
      </c>
      <c r="O327" s="13" t="n">
        <v>0.02486</v>
      </c>
      <c r="P327" s="2" t="s">
        <v>310</v>
      </c>
      <c r="Q327" s="14" t="n">
        <f aca="false">MAX(N327/DRIVERS!$B$5,O327/DRIVERS!$B$6)</f>
        <v>0.00174161064490254</v>
      </c>
      <c r="R327" s="15" t="n">
        <f aca="false">ROUNDDOWN(1/Q327,0)</f>
        <v>574</v>
      </c>
      <c r="S327" s="5" t="n">
        <f aca="false">DRIVERS!$B$23*Q327/DRIVERS!$B$24</f>
        <v>9.04057167869909</v>
      </c>
      <c r="T327" s="5" t="n">
        <f aca="false">J327*INDEX(DRIVERS!$C$32:$C$42,MATCH(B327,DRIVERS!$A$32:$A$42,0))</f>
        <v>175</v>
      </c>
      <c r="U327" s="5" t="n">
        <f aca="false">J327*INDEX(SUPPLIERS!$E$3:$E$30,MATCH(C327,SUPPLIERS!$A$3:$A$30,0))</f>
        <v>0</v>
      </c>
      <c r="V327" s="5" t="n">
        <v>0</v>
      </c>
      <c r="W327" s="5" t="n">
        <f aca="false">J327+S327+T327+U327+V327</f>
        <v>3684.0405716787</v>
      </c>
      <c r="X327" s="9" t="n">
        <f aca="false">W327/J327-1</f>
        <v>0.0525830204796283</v>
      </c>
      <c r="Y327" s="6" t="n">
        <f aca="false">INDEX(DRIVERS!$B$32:$B$42,MATCH(B327,DRIVERS!$A$32:$A$42,0))</f>
        <v>0.3</v>
      </c>
      <c r="Z327" s="5" t="n">
        <f aca="false">W327*(1+Y327)</f>
        <v>4789.25274318231</v>
      </c>
      <c r="AA327" s="5" t="n">
        <f aca="false">W327*(1+Y327+DRIVERS!$B$26)*(1+DRIVERS!$B$27)</f>
        <v>5570.2693443782</v>
      </c>
      <c r="AB327" s="2" t="s">
        <v>218</v>
      </c>
      <c r="AC327" s="8"/>
    </row>
    <row r="328" customFormat="false" ht="15" hidden="false" customHeight="false" outlineLevel="0" collapsed="false">
      <c r="A328" s="2" t="s">
        <v>1164</v>
      </c>
      <c r="B328" s="2" t="s">
        <v>1116</v>
      </c>
      <c r="C328" s="2" t="s">
        <v>92</v>
      </c>
      <c r="D328" s="2" t="s">
        <v>1165</v>
      </c>
      <c r="E328" s="2" t="s">
        <v>1166</v>
      </c>
      <c r="F328" s="2" t="s">
        <v>186</v>
      </c>
      <c r="G328" s="2" t="s">
        <v>186</v>
      </c>
      <c r="H328" s="5" t="n">
        <v>4500</v>
      </c>
      <c r="I328" s="6" t="n">
        <f aca="false">INDEX(SUPPLIERS!$D$3:$D$30,MATCH(C328,SUPPLIERS!$A$3:$A$30,0))</f>
        <v>0</v>
      </c>
      <c r="J328" s="5" t="n">
        <f aca="false">H328*(1-I328)</f>
        <v>4500</v>
      </c>
      <c r="M328" s="5" t="str">
        <f aca="false">IF(K328="","",J328/K328)</f>
        <v/>
      </c>
      <c r="N328" s="2" t="n">
        <v>3.5</v>
      </c>
      <c r="O328" s="13" t="n">
        <v>0.01176</v>
      </c>
      <c r="P328" s="2" t="s">
        <v>310</v>
      </c>
      <c r="Q328" s="14" t="n">
        <f aca="false">MAX(N328/DRIVERS!$B$5,O328/DRIVERS!$B$6)</f>
        <v>0.00116666666666667</v>
      </c>
      <c r="R328" s="15" t="n">
        <f aca="false">ROUNDDOWN(1/Q328,0)</f>
        <v>857</v>
      </c>
      <c r="S328" s="5" t="n">
        <f aca="false">DRIVERS!$B$23*Q328/DRIVERS!$B$24</f>
        <v>6.05608013250238</v>
      </c>
      <c r="T328" s="5" t="n">
        <f aca="false">J328*INDEX(DRIVERS!$C$32:$C$42,MATCH(B328,DRIVERS!$A$32:$A$42,0))</f>
        <v>225</v>
      </c>
      <c r="U328" s="5" t="n">
        <f aca="false">J328*INDEX(SUPPLIERS!$E$3:$E$30,MATCH(C328,SUPPLIERS!$A$3:$A$30,0))</f>
        <v>0</v>
      </c>
      <c r="V328" s="5" t="n">
        <v>0</v>
      </c>
      <c r="W328" s="5" t="n">
        <f aca="false">J328+S328+T328+U328+V328</f>
        <v>4731.0560801325</v>
      </c>
      <c r="X328" s="9" t="n">
        <f aca="false">W328/J328-1</f>
        <v>0.0513457955850005</v>
      </c>
      <c r="Y328" s="6" t="n">
        <f aca="false">INDEX(DRIVERS!$B$32:$B$42,MATCH(B328,DRIVERS!$A$32:$A$42,0))</f>
        <v>0.3</v>
      </c>
      <c r="Z328" s="5" t="n">
        <f aca="false">W328*(1+Y328)</f>
        <v>6150.37290417225</v>
      </c>
      <c r="AA328" s="5" t="n">
        <f aca="false">W328*(1+Y328+DRIVERS!$B$26)*(1+DRIVERS!$B$27)</f>
        <v>7153.35679316035</v>
      </c>
      <c r="AB328" s="2" t="s">
        <v>218</v>
      </c>
      <c r="AC328" s="8"/>
    </row>
    <row r="329" customFormat="false" ht="15" hidden="false" customHeight="false" outlineLevel="0" collapsed="false">
      <c r="A329" s="2" t="s">
        <v>1167</v>
      </c>
      <c r="B329" s="2" t="s">
        <v>1116</v>
      </c>
      <c r="C329" s="2" t="s">
        <v>92</v>
      </c>
      <c r="D329" s="2" t="s">
        <v>1168</v>
      </c>
      <c r="E329" s="2" t="s">
        <v>1169</v>
      </c>
      <c r="F329" s="2" t="s">
        <v>186</v>
      </c>
      <c r="G329" s="2" t="s">
        <v>186</v>
      </c>
      <c r="H329" s="5" t="n">
        <v>7500</v>
      </c>
      <c r="I329" s="6" t="n">
        <f aca="false">INDEX(SUPPLIERS!$D$3:$D$30,MATCH(C329,SUPPLIERS!$A$3:$A$30,0))</f>
        <v>0</v>
      </c>
      <c r="J329" s="5" t="n">
        <f aca="false">H329*(1-I329)</f>
        <v>7500</v>
      </c>
      <c r="M329" s="5" t="str">
        <f aca="false">IF(K329="","",J329/K329)</f>
        <v/>
      </c>
      <c r="N329" s="2" t="n">
        <v>2.6</v>
      </c>
      <c r="O329" s="13" t="n">
        <v>0.0084</v>
      </c>
      <c r="P329" s="2" t="s">
        <v>310</v>
      </c>
      <c r="Q329" s="14" t="n">
        <f aca="false">MAX(N329/DRIVERS!$B$5,O329/DRIVERS!$B$6)</f>
        <v>0.000866666666666667</v>
      </c>
      <c r="R329" s="15" t="n">
        <f aca="false">ROUNDDOWN(1/Q329,0)</f>
        <v>1153</v>
      </c>
      <c r="S329" s="5" t="n">
        <f aca="false">DRIVERS!$B$23*Q329/DRIVERS!$B$24</f>
        <v>4.49880238414462</v>
      </c>
      <c r="T329" s="5" t="n">
        <f aca="false">J329*INDEX(DRIVERS!$C$32:$C$42,MATCH(B329,DRIVERS!$A$32:$A$42,0))</f>
        <v>375</v>
      </c>
      <c r="U329" s="5" t="n">
        <f aca="false">J329*INDEX(SUPPLIERS!$E$3:$E$30,MATCH(C329,SUPPLIERS!$A$3:$A$30,0))</f>
        <v>0</v>
      </c>
      <c r="V329" s="5" t="n">
        <v>0</v>
      </c>
      <c r="W329" s="5" t="n">
        <f aca="false">J329+S329+T329+U329+V329</f>
        <v>7879.49880238414</v>
      </c>
      <c r="X329" s="9" t="n">
        <f aca="false">W329/J329-1</f>
        <v>0.050599840317886</v>
      </c>
      <c r="Y329" s="6" t="n">
        <f aca="false">INDEX(DRIVERS!$B$32:$B$42,MATCH(B329,DRIVERS!$A$32:$A$42,0))</f>
        <v>0.3</v>
      </c>
      <c r="Z329" s="5" t="n">
        <f aca="false">W329*(1+Y329)</f>
        <v>10243.3484430994</v>
      </c>
      <c r="AA329" s="5" t="n">
        <f aca="false">W329*(1+Y329+DRIVERS!$B$26)*(1+DRIVERS!$B$27)</f>
        <v>11913.8021892048</v>
      </c>
      <c r="AB329" s="2" t="s">
        <v>218</v>
      </c>
      <c r="AC329" s="8"/>
    </row>
    <row r="330" customFormat="false" ht="15" hidden="false" customHeight="false" outlineLevel="0" collapsed="false">
      <c r="A330" s="2" t="s">
        <v>1170</v>
      </c>
      <c r="B330" s="2" t="s">
        <v>1116</v>
      </c>
      <c r="C330" s="2" t="s">
        <v>92</v>
      </c>
      <c r="D330" s="2" t="s">
        <v>1171</v>
      </c>
      <c r="E330" s="2" t="s">
        <v>1172</v>
      </c>
      <c r="F330" s="2" t="s">
        <v>186</v>
      </c>
      <c r="G330" s="2" t="s">
        <v>186</v>
      </c>
      <c r="H330" s="5" t="n">
        <v>9500</v>
      </c>
      <c r="I330" s="6" t="n">
        <f aca="false">INDEX(SUPPLIERS!$D$3:$D$30,MATCH(C330,SUPPLIERS!$A$3:$A$30,0))</f>
        <v>0</v>
      </c>
      <c r="J330" s="5" t="n">
        <f aca="false">H330*(1-I330)</f>
        <v>9500</v>
      </c>
      <c r="M330" s="5" t="str">
        <f aca="false">IF(K330="","",J330/K330)</f>
        <v/>
      </c>
      <c r="N330" s="2" t="n">
        <v>12</v>
      </c>
      <c r="O330" s="13" t="n">
        <v>0.03938</v>
      </c>
      <c r="P330" s="2" t="s">
        <v>310</v>
      </c>
      <c r="Q330" s="14" t="n">
        <f aca="false">MAX(N330/DRIVERS!$B$5,O330/DRIVERS!$B$6)</f>
        <v>0.004</v>
      </c>
      <c r="R330" s="15" t="n">
        <f aca="false">ROUNDDOWN(1/Q330,0)</f>
        <v>250</v>
      </c>
      <c r="S330" s="5" t="n">
        <f aca="false">DRIVERS!$B$23*Q330/DRIVERS!$B$24</f>
        <v>20.7637033114367</v>
      </c>
      <c r="T330" s="5" t="n">
        <f aca="false">J330*INDEX(DRIVERS!$C$32:$C$42,MATCH(B330,DRIVERS!$A$32:$A$42,0))</f>
        <v>475</v>
      </c>
      <c r="U330" s="5" t="n">
        <f aca="false">J330*INDEX(SUPPLIERS!$E$3:$E$30,MATCH(C330,SUPPLIERS!$A$3:$A$30,0))</f>
        <v>0</v>
      </c>
      <c r="V330" s="5" t="n">
        <v>0</v>
      </c>
      <c r="W330" s="5" t="n">
        <f aca="false">J330+S330+T330+U330+V330</f>
        <v>9995.76370331144</v>
      </c>
      <c r="X330" s="9" t="n">
        <f aca="false">W330/J330-1</f>
        <v>0.0521856529801512</v>
      </c>
      <c r="Y330" s="6" t="n">
        <f aca="false">INDEX(DRIVERS!$B$32:$B$42,MATCH(B330,DRIVERS!$A$32:$A$42,0))</f>
        <v>0.3</v>
      </c>
      <c r="Z330" s="5" t="n">
        <f aca="false">W330*(1+Y330)</f>
        <v>12994.4928143049</v>
      </c>
      <c r="AA330" s="5" t="n">
        <f aca="false">W330*(1+Y330+DRIVERS!$B$26)*(1+DRIVERS!$B$27)</f>
        <v>15113.5947194069</v>
      </c>
      <c r="AB330" s="2" t="s">
        <v>218</v>
      </c>
      <c r="AC330" s="8"/>
    </row>
    <row r="331" customFormat="false" ht="15" hidden="false" customHeight="false" outlineLevel="0" collapsed="false">
      <c r="A331" s="2" t="s">
        <v>1173</v>
      </c>
      <c r="B331" s="2" t="s">
        <v>1116</v>
      </c>
      <c r="C331" s="2" t="s">
        <v>92</v>
      </c>
      <c r="D331" s="2" t="s">
        <v>1174</v>
      </c>
      <c r="E331" s="2" t="s">
        <v>1175</v>
      </c>
      <c r="F331" s="2" t="s">
        <v>186</v>
      </c>
      <c r="G331" s="2" t="s">
        <v>186</v>
      </c>
      <c r="H331" s="5" t="n">
        <v>600</v>
      </c>
      <c r="I331" s="6" t="n">
        <f aca="false">INDEX(SUPPLIERS!$D$3:$D$30,MATCH(C331,SUPPLIERS!$A$3:$A$30,0))</f>
        <v>0</v>
      </c>
      <c r="J331" s="5" t="n">
        <f aca="false">H331*(1-I331)</f>
        <v>600</v>
      </c>
      <c r="M331" s="5" t="str">
        <f aca="false">IF(K331="","",J331/K331)</f>
        <v/>
      </c>
      <c r="N331" s="2" t="n">
        <v>1.7</v>
      </c>
      <c r="O331" s="13" t="n">
        <v>0.00572</v>
      </c>
      <c r="P331" s="2" t="s">
        <v>310</v>
      </c>
      <c r="Q331" s="14" t="n">
        <f aca="false">MAX(N331/DRIVERS!$B$5,O331/DRIVERS!$B$6)</f>
        <v>0.000566666666666667</v>
      </c>
      <c r="R331" s="15" t="n">
        <f aca="false">ROUNDDOWN(1/Q331,0)</f>
        <v>1764</v>
      </c>
      <c r="S331" s="5" t="n">
        <f aca="false">DRIVERS!$B$23*Q331/DRIVERS!$B$24</f>
        <v>2.94152463578687</v>
      </c>
      <c r="T331" s="5" t="n">
        <f aca="false">J331*INDEX(DRIVERS!$C$32:$C$42,MATCH(B331,DRIVERS!$A$32:$A$42,0))</f>
        <v>30</v>
      </c>
      <c r="U331" s="5" t="n">
        <f aca="false">J331*INDEX(SUPPLIERS!$E$3:$E$30,MATCH(C331,SUPPLIERS!$A$3:$A$30,0))</f>
        <v>0</v>
      </c>
      <c r="V331" s="5" t="n">
        <v>0</v>
      </c>
      <c r="W331" s="5" t="n">
        <f aca="false">J331+S331+T331+U331+V331</f>
        <v>632.941524635787</v>
      </c>
      <c r="X331" s="9" t="n">
        <f aca="false">W331/J331-1</f>
        <v>0.0549025410596449</v>
      </c>
      <c r="Y331" s="6" t="n">
        <f aca="false">INDEX(DRIVERS!$B$32:$B$42,MATCH(B331,DRIVERS!$A$32:$A$42,0))</f>
        <v>0.3</v>
      </c>
      <c r="Z331" s="5" t="n">
        <f aca="false">W331*(1+Y331)</f>
        <v>822.823982026523</v>
      </c>
      <c r="AA331" s="5" t="n">
        <f aca="false">W331*(1+Y331+DRIVERS!$B$26)*(1+DRIVERS!$B$27)</f>
        <v>957.00758524931</v>
      </c>
      <c r="AB331" s="2" t="s">
        <v>218</v>
      </c>
      <c r="AC331" s="8"/>
    </row>
    <row r="332" customFormat="false" ht="15" hidden="false" customHeight="false" outlineLevel="0" collapsed="false">
      <c r="A332" s="2" t="s">
        <v>1176</v>
      </c>
      <c r="B332" s="2" t="s">
        <v>1116</v>
      </c>
      <c r="C332" s="2" t="s">
        <v>92</v>
      </c>
      <c r="D332" s="2" t="s">
        <v>1177</v>
      </c>
      <c r="E332" s="2" t="s">
        <v>1175</v>
      </c>
      <c r="F332" s="2" t="s">
        <v>186</v>
      </c>
      <c r="G332" s="2" t="s">
        <v>186</v>
      </c>
      <c r="H332" s="5" t="n">
        <v>800</v>
      </c>
      <c r="I332" s="6" t="n">
        <f aca="false">INDEX(SUPPLIERS!$D$3:$D$30,MATCH(C332,SUPPLIERS!$A$3:$A$30,0))</f>
        <v>0</v>
      </c>
      <c r="J332" s="5" t="n">
        <f aca="false">H332*(1-I332)</f>
        <v>800</v>
      </c>
      <c r="M332" s="5" t="str">
        <f aca="false">IF(K332="","",J332/K332)</f>
        <v/>
      </c>
      <c r="N332" s="2" t="n">
        <v>1.3</v>
      </c>
      <c r="O332" s="13" t="n">
        <v>0.01853</v>
      </c>
      <c r="P332" s="2" t="s">
        <v>1178</v>
      </c>
      <c r="Q332" s="14" t="n">
        <f aca="false">MAX(N332/DRIVERS!$B$5,O332/DRIVERS!$B$6)</f>
        <v>0.0012981514581675</v>
      </c>
      <c r="R332" s="15" t="n">
        <f aca="false">ROUNDDOWN(1/Q332,0)</f>
        <v>770</v>
      </c>
      <c r="S332" s="5" t="n">
        <f aca="false">DRIVERS!$B$23*Q332/DRIVERS!$B$24</f>
        <v>6.73860793267474</v>
      </c>
      <c r="T332" s="5" t="n">
        <f aca="false">J332*INDEX(DRIVERS!$C$32:$C$42,MATCH(B332,DRIVERS!$A$32:$A$42,0))</f>
        <v>40</v>
      </c>
      <c r="U332" s="5" t="n">
        <f aca="false">J332*INDEX(SUPPLIERS!$E$3:$E$30,MATCH(C332,SUPPLIERS!$A$3:$A$30,0))</f>
        <v>0</v>
      </c>
      <c r="V332" s="5" t="n">
        <v>0</v>
      </c>
      <c r="W332" s="5" t="n">
        <f aca="false">J332+S332+T332+U332+V332</f>
        <v>846.738607932675</v>
      </c>
      <c r="X332" s="9" t="n">
        <f aca="false">W332/J332-1</f>
        <v>0.0584232599158434</v>
      </c>
      <c r="Y332" s="6" t="n">
        <f aca="false">INDEX(DRIVERS!$B$32:$B$42,MATCH(B332,DRIVERS!$A$32:$A$42,0))</f>
        <v>0.3</v>
      </c>
      <c r="Z332" s="5" t="n">
        <f aca="false">W332*(1+Y332)</f>
        <v>1100.76019031248</v>
      </c>
      <c r="AA332" s="5" t="n">
        <f aca="false">W332*(1+Y332+DRIVERS!$B$26)*(1+DRIVERS!$B$27)</f>
        <v>1280.2687751942</v>
      </c>
      <c r="AB332" s="2" t="s">
        <v>218</v>
      </c>
      <c r="AC332" s="8"/>
    </row>
    <row r="333" customFormat="false" ht="15" hidden="false" customHeight="false" outlineLevel="0" collapsed="false">
      <c r="A333" s="2" t="s">
        <v>74</v>
      </c>
      <c r="B333" s="2" t="s">
        <v>1116</v>
      </c>
      <c r="C333" s="2" t="s">
        <v>92</v>
      </c>
      <c r="D333" s="2" t="s">
        <v>1179</v>
      </c>
      <c r="F333" s="2" t="s">
        <v>186</v>
      </c>
      <c r="G333" s="2" t="s">
        <v>186</v>
      </c>
      <c r="H333" s="5" t="n">
        <v>2000</v>
      </c>
      <c r="I333" s="6" t="n">
        <f aca="false">INDEX(SUPPLIERS!$D$3:$D$30,MATCH(C333,SUPPLIERS!$A$3:$A$30,0))</f>
        <v>0</v>
      </c>
      <c r="J333" s="5" t="n">
        <f aca="false">H333*(1-I333)</f>
        <v>2000</v>
      </c>
      <c r="M333" s="5" t="str">
        <f aca="false">IF(K333="","",J333/K333)</f>
        <v/>
      </c>
      <c r="N333" s="2" t="n">
        <v>11.2</v>
      </c>
      <c r="O333" s="13" t="n">
        <v>0.06187</v>
      </c>
      <c r="P333" s="2" t="s">
        <v>310</v>
      </c>
      <c r="Q333" s="14" t="n">
        <f aca="false">MAX(N333/DRIVERS!$B$5,O333/DRIVERS!$B$6)</f>
        <v>0.00433441072405954</v>
      </c>
      <c r="R333" s="15" t="n">
        <f aca="false">ROUNDDOWN(1/Q333,0)</f>
        <v>230</v>
      </c>
      <c r="S333" s="5" t="n">
        <f aca="false">DRIVERS!$B$23*Q333/DRIVERS!$B$24</f>
        <v>22.4996045760705</v>
      </c>
      <c r="T333" s="5" t="n">
        <f aca="false">J333*INDEX(DRIVERS!$C$32:$C$42,MATCH(B333,DRIVERS!$A$32:$A$42,0))</f>
        <v>100</v>
      </c>
      <c r="U333" s="5" t="n">
        <f aca="false">J333*INDEX(SUPPLIERS!$E$3:$E$30,MATCH(C333,SUPPLIERS!$A$3:$A$30,0))</f>
        <v>0</v>
      </c>
      <c r="V333" s="5" t="n">
        <v>0</v>
      </c>
      <c r="W333" s="5" t="n">
        <f aca="false">J333+S333+T333+U333+V333</f>
        <v>2122.49960457607</v>
      </c>
      <c r="X333" s="9" t="n">
        <f aca="false">W333/J333-1</f>
        <v>0.0612498022880352</v>
      </c>
      <c r="Y333" s="6" t="n">
        <f aca="false">INDEX(DRIVERS!$B$32:$B$42,MATCH(B333,DRIVERS!$A$32:$A$42,0))</f>
        <v>0.3</v>
      </c>
      <c r="Z333" s="5" t="n">
        <f aca="false">W333*(1+Y333)</f>
        <v>2759.24948594889</v>
      </c>
      <c r="AA333" s="5" t="n">
        <f aca="false">W333*(1+Y333+DRIVERS!$B$26)*(1+DRIVERS!$B$27)</f>
        <v>3209.21940211902</v>
      </c>
      <c r="AB333" s="2" t="s">
        <v>218</v>
      </c>
      <c r="AC333" s="8"/>
    </row>
    <row r="334" customFormat="false" ht="15" hidden="false" customHeight="false" outlineLevel="0" collapsed="false">
      <c r="A334" s="2" t="s">
        <v>1180</v>
      </c>
      <c r="B334" s="2" t="s">
        <v>1116</v>
      </c>
      <c r="C334" s="2" t="s">
        <v>92</v>
      </c>
      <c r="D334" s="2" t="s">
        <v>1181</v>
      </c>
      <c r="F334" s="2" t="s">
        <v>186</v>
      </c>
      <c r="G334" s="2" t="s">
        <v>186</v>
      </c>
      <c r="H334" s="5" t="n">
        <v>3000</v>
      </c>
      <c r="I334" s="6" t="n">
        <f aca="false">INDEX(SUPPLIERS!$D$3:$D$30,MATCH(C334,SUPPLIERS!$A$3:$A$30,0))</f>
        <v>0</v>
      </c>
      <c r="J334" s="5" t="n">
        <f aca="false">H334*(1-I334)</f>
        <v>3000</v>
      </c>
      <c r="M334" s="5" t="str">
        <f aca="false">IF(K334="","",J334/K334)</f>
        <v/>
      </c>
      <c r="N334" s="2" t="n">
        <v>16.5</v>
      </c>
      <c r="O334" s="13" t="n">
        <v>0.10725</v>
      </c>
      <c r="P334" s="2" t="s">
        <v>310</v>
      </c>
      <c r="Q334" s="14" t="n">
        <f aca="false">MAX(N334/DRIVERS!$B$5,O334/DRIVERS!$B$6)</f>
        <v>0.00751358574681406</v>
      </c>
      <c r="R334" s="15" t="n">
        <f aca="false">ROUNDDOWN(1/Q334,0)</f>
        <v>133</v>
      </c>
      <c r="S334" s="5" t="n">
        <f aca="false">DRIVERS!$B$23*Q334/DRIVERS!$B$24</f>
        <v>39.0024663129717</v>
      </c>
      <c r="T334" s="5" t="n">
        <f aca="false">J334*INDEX(DRIVERS!$C$32:$C$42,MATCH(B334,DRIVERS!$A$32:$A$42,0))</f>
        <v>150</v>
      </c>
      <c r="U334" s="5" t="n">
        <f aca="false">J334*INDEX(SUPPLIERS!$E$3:$E$30,MATCH(C334,SUPPLIERS!$A$3:$A$30,0))</f>
        <v>0</v>
      </c>
      <c r="V334" s="5" t="n">
        <v>0</v>
      </c>
      <c r="W334" s="5" t="n">
        <f aca="false">J334+S334+T334+U334+V334</f>
        <v>3189.00246631297</v>
      </c>
      <c r="X334" s="9" t="n">
        <f aca="false">W334/J334-1</f>
        <v>0.0630008221043239</v>
      </c>
      <c r="Y334" s="6" t="n">
        <f aca="false">INDEX(DRIVERS!$B$32:$B$42,MATCH(B334,DRIVERS!$A$32:$A$42,0))</f>
        <v>0.3</v>
      </c>
      <c r="Z334" s="5" t="n">
        <f aca="false">W334*(1+Y334)</f>
        <v>4145.70320620686</v>
      </c>
      <c r="AA334" s="5" t="n">
        <f aca="false">W334*(1+Y334+DRIVERS!$B$26)*(1+DRIVERS!$B$27)</f>
        <v>4821.77172906521</v>
      </c>
      <c r="AB334" s="2" t="s">
        <v>218</v>
      </c>
      <c r="AC334" s="8"/>
    </row>
    <row r="335" customFormat="false" ht="15" hidden="false" customHeight="false" outlineLevel="0" collapsed="false">
      <c r="A335" s="2" t="s">
        <v>75</v>
      </c>
      <c r="B335" s="2" t="s">
        <v>1116</v>
      </c>
      <c r="C335" s="2" t="s">
        <v>92</v>
      </c>
      <c r="D335" s="2" t="s">
        <v>1182</v>
      </c>
      <c r="F335" s="2" t="s">
        <v>186</v>
      </c>
      <c r="G335" s="2" t="s">
        <v>186</v>
      </c>
      <c r="H335" s="5" t="n">
        <v>400</v>
      </c>
      <c r="I335" s="6" t="n">
        <f aca="false">INDEX(SUPPLIERS!$D$3:$D$30,MATCH(C335,SUPPLIERS!$A$3:$A$30,0))</f>
        <v>0</v>
      </c>
      <c r="J335" s="5" t="n">
        <f aca="false">H335*(1-I335)</f>
        <v>400</v>
      </c>
      <c r="M335" s="5" t="str">
        <f aca="false">IF(K335="","",J335/K335)</f>
        <v/>
      </c>
      <c r="N335" s="2" t="n">
        <v>1</v>
      </c>
      <c r="O335" s="13" t="n">
        <v>0.0072</v>
      </c>
      <c r="P335" s="2" t="s">
        <v>1146</v>
      </c>
      <c r="Q335" s="14" t="n">
        <f aca="false">MAX(N335/DRIVERS!$B$5,O335/DRIVERS!$B$6)</f>
        <v>0.000504408553632273</v>
      </c>
      <c r="R335" s="15" t="n">
        <f aca="false">ROUNDDOWN(1/Q335,0)</f>
        <v>1982</v>
      </c>
      <c r="S335" s="5" t="n">
        <f aca="false">DRIVERS!$B$23*Q335/DRIVERS!$B$24</f>
        <v>2.61834738884286</v>
      </c>
      <c r="T335" s="5" t="n">
        <f aca="false">J335*INDEX(DRIVERS!$C$32:$C$42,MATCH(B335,DRIVERS!$A$32:$A$42,0))</f>
        <v>20</v>
      </c>
      <c r="U335" s="5" t="n">
        <f aca="false">J335*INDEX(SUPPLIERS!$E$3:$E$30,MATCH(C335,SUPPLIERS!$A$3:$A$30,0))</f>
        <v>0</v>
      </c>
      <c r="V335" s="5" t="n">
        <v>0</v>
      </c>
      <c r="W335" s="5" t="n">
        <f aca="false">J335+S335+T335+U335+V335</f>
        <v>422.618347388843</v>
      </c>
      <c r="X335" s="9" t="n">
        <f aca="false">W335/J335-1</f>
        <v>0.0565458684721072</v>
      </c>
      <c r="Y335" s="6" t="n">
        <f aca="false">INDEX(DRIVERS!$B$32:$B$42,MATCH(B335,DRIVERS!$A$32:$A$42,0))</f>
        <v>0.3</v>
      </c>
      <c r="Z335" s="5" t="n">
        <f aca="false">W335*(1+Y335)</f>
        <v>549.403851605496</v>
      </c>
      <c r="AA335" s="5" t="n">
        <f aca="false">W335*(1+Y335+DRIVERS!$B$26)*(1+DRIVERS!$B$27)</f>
        <v>638.99894125193</v>
      </c>
      <c r="AB335" s="2" t="s">
        <v>218</v>
      </c>
      <c r="AC335" s="8"/>
    </row>
    <row r="336" customFormat="false" ht="15" hidden="false" customHeight="false" outlineLevel="0" collapsed="false">
      <c r="A336" s="2" t="s">
        <v>1183</v>
      </c>
      <c r="B336" s="2" t="s">
        <v>1116</v>
      </c>
      <c r="C336" s="2" t="s">
        <v>92</v>
      </c>
      <c r="D336" s="2" t="s">
        <v>1184</v>
      </c>
      <c r="E336" s="2" t="s">
        <v>1185</v>
      </c>
      <c r="F336" s="2" t="s">
        <v>1155</v>
      </c>
      <c r="G336" s="2" t="s">
        <v>1155</v>
      </c>
      <c r="H336" s="5" t="n">
        <v>9500</v>
      </c>
      <c r="I336" s="6" t="n">
        <f aca="false">INDEX(SUPPLIERS!$D$3:$D$30,MATCH(C336,SUPPLIERS!$A$3:$A$30,0))</f>
        <v>0</v>
      </c>
      <c r="J336" s="5" t="n">
        <f aca="false">H336*(1-I336)</f>
        <v>9500</v>
      </c>
      <c r="M336" s="5" t="str">
        <f aca="false">IF(K336="","",J336/K336)</f>
        <v/>
      </c>
      <c r="N336" s="2" t="n">
        <v>30</v>
      </c>
      <c r="O336" s="13" t="n">
        <v>0.0707</v>
      </c>
      <c r="P336" s="2" t="s">
        <v>1156</v>
      </c>
      <c r="Q336" s="14" t="n">
        <f aca="false">MAX(N336/DRIVERS!$B$5,O336/DRIVERS!$B$6)</f>
        <v>0.01</v>
      </c>
      <c r="R336" s="15" t="n">
        <f aca="false">ROUNDDOWN(1/Q336,0)</f>
        <v>100</v>
      </c>
      <c r="S336" s="5" t="n">
        <f aca="false">DRIVERS!$B$23*Q336/DRIVERS!$B$24</f>
        <v>51.9092582785918</v>
      </c>
      <c r="T336" s="5" t="n">
        <f aca="false">J336*INDEX(DRIVERS!$C$32:$C$42,MATCH(B336,DRIVERS!$A$32:$A$42,0))</f>
        <v>475</v>
      </c>
      <c r="U336" s="5" t="n">
        <f aca="false">J336*INDEX(SUPPLIERS!$E$3:$E$30,MATCH(C336,SUPPLIERS!$A$3:$A$30,0))</f>
        <v>0</v>
      </c>
      <c r="V336" s="5" t="n">
        <v>0</v>
      </c>
      <c r="W336" s="5" t="n">
        <f aca="false">J336+S336+T336+U336+V336</f>
        <v>10026.9092582786</v>
      </c>
      <c r="X336" s="9" t="n">
        <f aca="false">W336/J336-1</f>
        <v>0.0554641324503782</v>
      </c>
      <c r="Y336" s="6" t="n">
        <f aca="false">INDEX(DRIVERS!$B$32:$B$42,MATCH(B336,DRIVERS!$A$32:$A$42,0))</f>
        <v>0.3</v>
      </c>
      <c r="Z336" s="5" t="n">
        <f aca="false">W336*(1+Y336)</f>
        <v>13034.9820357622</v>
      </c>
      <c r="AA336" s="5" t="n">
        <f aca="false">W336*(1+Y336+DRIVERS!$B$26)*(1+DRIVERS!$B$27)</f>
        <v>15160.6867985172</v>
      </c>
      <c r="AB336" s="2" t="s">
        <v>218</v>
      </c>
      <c r="AC336" s="8"/>
    </row>
    <row r="337" customFormat="false" ht="15" hidden="false" customHeight="false" outlineLevel="0" collapsed="false">
      <c r="A337" s="2" t="s">
        <v>78</v>
      </c>
      <c r="B337" s="2" t="s">
        <v>1186</v>
      </c>
      <c r="C337" s="2" t="s">
        <v>90</v>
      </c>
      <c r="D337" s="2" t="s">
        <v>1187</v>
      </c>
      <c r="F337" s="2" t="s">
        <v>186</v>
      </c>
      <c r="G337" s="2" t="s">
        <v>186</v>
      </c>
      <c r="H337" s="5" t="n">
        <v>50</v>
      </c>
      <c r="I337" s="6" t="n">
        <f aca="false">INDEX(SUPPLIERS!$D$3:$D$30,MATCH(C337,SUPPLIERS!$A$3:$A$30,0))</f>
        <v>0</v>
      </c>
      <c r="J337" s="5" t="n">
        <f aca="false">H337*(1-I337)</f>
        <v>50</v>
      </c>
      <c r="M337" s="5" t="str">
        <f aca="false">IF(K337="","",J337/K337)</f>
        <v/>
      </c>
      <c r="N337" s="2" t="n">
        <v>0.08</v>
      </c>
      <c r="O337" s="13" t="n">
        <v>0.00016</v>
      </c>
      <c r="P337" s="2" t="s">
        <v>1188</v>
      </c>
      <c r="Q337" s="14" t="n">
        <f aca="false">MAX(N337/DRIVERS!$B$5,O337/DRIVERS!$B$6)</f>
        <v>2.66666666666667E-005</v>
      </c>
      <c r="R337" s="15" t="n">
        <f aca="false">ROUNDDOWN(1/Q337,0)</f>
        <v>37500</v>
      </c>
      <c r="S337" s="5" t="n">
        <f aca="false">DRIVERS!$B$23*Q337/DRIVERS!$B$24</f>
        <v>0.138424688742911</v>
      </c>
      <c r="T337" s="5" t="n">
        <f aca="false">J337*INDEX(DRIVERS!$C$32:$C$42,MATCH(B337,DRIVERS!$A$32:$A$42,0))</f>
        <v>1</v>
      </c>
      <c r="U337" s="5" t="n">
        <f aca="false">J337*INDEX(SUPPLIERS!$E$3:$E$30,MATCH(C337,SUPPLIERS!$A$3:$A$30,0))</f>
        <v>0</v>
      </c>
      <c r="V337" s="5" t="n">
        <v>0</v>
      </c>
      <c r="W337" s="5" t="n">
        <f aca="false">J337+S337+T337+U337+V337</f>
        <v>51.1384246887429</v>
      </c>
      <c r="X337" s="9" t="n">
        <f aca="false">W337/J337-1</f>
        <v>0.0227684937748582</v>
      </c>
      <c r="Y337" s="6" t="n">
        <f aca="false">INDEX(DRIVERS!$B$32:$B$42,MATCH(B337,DRIVERS!$A$32:$A$42,0))</f>
        <v>0.3</v>
      </c>
      <c r="Z337" s="5" t="n">
        <f aca="false">W337*(1+Y337)</f>
        <v>66.4799520953658</v>
      </c>
      <c r="AA337" s="5" t="n">
        <f aca="false">W337*(1+Y337+DRIVERS!$B$26)*(1+DRIVERS!$B$27)</f>
        <v>77.3212981293793</v>
      </c>
      <c r="AB337" s="2" t="s">
        <v>205</v>
      </c>
      <c r="AC337" s="8"/>
    </row>
    <row r="338" customFormat="false" ht="15" hidden="false" customHeight="false" outlineLevel="0" collapsed="false">
      <c r="A338" s="2" t="s">
        <v>1189</v>
      </c>
      <c r="B338" s="2" t="s">
        <v>1186</v>
      </c>
      <c r="C338" s="2" t="s">
        <v>90</v>
      </c>
      <c r="D338" s="2" t="s">
        <v>1190</v>
      </c>
      <c r="F338" s="2" t="s">
        <v>186</v>
      </c>
      <c r="G338" s="2" t="s">
        <v>186</v>
      </c>
      <c r="H338" s="5" t="n">
        <v>35</v>
      </c>
      <c r="I338" s="6" t="n">
        <f aca="false">INDEX(SUPPLIERS!$D$3:$D$30,MATCH(C338,SUPPLIERS!$A$3:$A$30,0))</f>
        <v>0</v>
      </c>
      <c r="J338" s="5" t="n">
        <f aca="false">H338*(1-I338)</f>
        <v>35</v>
      </c>
      <c r="M338" s="5" t="str">
        <f aca="false">IF(K338="","",J338/K338)</f>
        <v/>
      </c>
      <c r="N338" s="2" t="n">
        <v>0.5</v>
      </c>
      <c r="O338" s="13" t="n">
        <v>0.000625</v>
      </c>
      <c r="P338" s="2" t="s">
        <v>773</v>
      </c>
      <c r="Q338" s="14" t="n">
        <f aca="false">MAX(N338/DRIVERS!$B$5,O338/DRIVERS!$B$6)</f>
        <v>0.000166666666666667</v>
      </c>
      <c r="R338" s="15" t="n">
        <f aca="false">ROUNDDOWN(1/Q338,0)</f>
        <v>6000</v>
      </c>
      <c r="S338" s="5" t="n">
        <f aca="false">DRIVERS!$B$23*Q338/DRIVERS!$B$24</f>
        <v>0.865154304643197</v>
      </c>
      <c r="T338" s="5" t="n">
        <f aca="false">J338*INDEX(DRIVERS!$C$32:$C$42,MATCH(B338,DRIVERS!$A$32:$A$42,0))</f>
        <v>0.7</v>
      </c>
      <c r="U338" s="5" t="n">
        <f aca="false">J338*INDEX(SUPPLIERS!$E$3:$E$30,MATCH(C338,SUPPLIERS!$A$3:$A$30,0))</f>
        <v>0</v>
      </c>
      <c r="V338" s="5" t="n">
        <v>0</v>
      </c>
      <c r="W338" s="5" t="n">
        <f aca="false">J338+S338+T338+U338+V338</f>
        <v>36.5651543046432</v>
      </c>
      <c r="X338" s="9" t="n">
        <f aca="false">W338/J338-1</f>
        <v>0.0447186944183773</v>
      </c>
      <c r="Y338" s="6" t="n">
        <f aca="false">INDEX(DRIVERS!$B$32:$B$42,MATCH(B338,DRIVERS!$A$32:$A$42,0))</f>
        <v>0.3</v>
      </c>
      <c r="Z338" s="5" t="n">
        <f aca="false">W338*(1+Y338)</f>
        <v>47.5347005960362</v>
      </c>
      <c r="AA338" s="5" t="n">
        <f aca="false">W338*(1+Y338+DRIVERS!$B$26)*(1+DRIVERS!$B$27)</f>
        <v>55.2865133086205</v>
      </c>
      <c r="AB338" s="2" t="s">
        <v>205</v>
      </c>
      <c r="AC338" s="8"/>
      <c r="AD338" s="2" t="s">
        <v>1191</v>
      </c>
    </row>
    <row r="339" customFormat="false" ht="15" hidden="false" customHeight="false" outlineLevel="0" collapsed="false">
      <c r="A339" s="2" t="s">
        <v>1192</v>
      </c>
      <c r="B339" s="2" t="s">
        <v>1186</v>
      </c>
      <c r="C339" s="2" t="s">
        <v>90</v>
      </c>
      <c r="D339" s="2" t="s">
        <v>1193</v>
      </c>
      <c r="E339" s="2" t="s">
        <v>1194</v>
      </c>
      <c r="F339" s="2" t="s">
        <v>635</v>
      </c>
      <c r="G339" s="2" t="s">
        <v>635</v>
      </c>
      <c r="H339" s="5" t="n">
        <v>500</v>
      </c>
      <c r="I339" s="6" t="n">
        <f aca="false">INDEX(SUPPLIERS!$D$3:$D$30,MATCH(C339,SUPPLIERS!$A$3:$A$30,0))</f>
        <v>0</v>
      </c>
      <c r="J339" s="5" t="n">
        <f aca="false">H339*(1-I339)</f>
        <v>500</v>
      </c>
      <c r="M339" s="5" t="str">
        <f aca="false">IF(K339="","",J339/K339)</f>
        <v/>
      </c>
      <c r="N339" s="2" t="n">
        <v>1.24</v>
      </c>
      <c r="O339" s="13" t="n">
        <v>0.00155</v>
      </c>
      <c r="P339" s="2" t="s">
        <v>773</v>
      </c>
      <c r="Q339" s="14" t="n">
        <f aca="false">MAX(N339/DRIVERS!$B$5,O339/DRIVERS!$B$6)</f>
        <v>0.000413333333333333</v>
      </c>
      <c r="R339" s="15" t="n">
        <f aca="false">ROUNDDOWN(1/Q339,0)</f>
        <v>2419</v>
      </c>
      <c r="S339" s="5" t="n">
        <f aca="false">DRIVERS!$B$23*Q339/DRIVERS!$B$24</f>
        <v>2.14558267551513</v>
      </c>
      <c r="T339" s="5" t="n">
        <f aca="false">J339*INDEX(DRIVERS!$C$32:$C$42,MATCH(B339,DRIVERS!$A$32:$A$42,0))</f>
        <v>10</v>
      </c>
      <c r="U339" s="5" t="n">
        <f aca="false">J339*INDEX(SUPPLIERS!$E$3:$E$30,MATCH(C339,SUPPLIERS!$A$3:$A$30,0))</f>
        <v>0</v>
      </c>
      <c r="V339" s="5" t="n">
        <v>0</v>
      </c>
      <c r="W339" s="5" t="n">
        <f aca="false">J339+S339+T339+U339+V339</f>
        <v>512.145582675515</v>
      </c>
      <c r="X339" s="9" t="n">
        <f aca="false">W339/J339-1</f>
        <v>0.0242911653510303</v>
      </c>
      <c r="Y339" s="6" t="n">
        <f aca="false">INDEX(DRIVERS!$B$32:$B$42,MATCH(B339,DRIVERS!$A$32:$A$42,0))</f>
        <v>0.3</v>
      </c>
      <c r="Z339" s="5" t="n">
        <f aca="false">W339*(1+Y339)</f>
        <v>665.78925747817</v>
      </c>
      <c r="AA339" s="5" t="n">
        <f aca="false">W339*(1+Y339+DRIVERS!$B$26)*(1+DRIVERS!$B$27)</f>
        <v>774.364121005379</v>
      </c>
      <c r="AB339" s="2" t="s">
        <v>205</v>
      </c>
      <c r="AC339" s="8"/>
      <c r="AD339" s="2" t="s">
        <v>1195</v>
      </c>
    </row>
    <row r="340" customFormat="false" ht="15" hidden="false" customHeight="false" outlineLevel="0" collapsed="false">
      <c r="A340" s="2" t="s">
        <v>77</v>
      </c>
      <c r="B340" s="2" t="s">
        <v>1186</v>
      </c>
      <c r="C340" s="2" t="s">
        <v>92</v>
      </c>
      <c r="D340" s="2" t="s">
        <v>1196</v>
      </c>
      <c r="E340" s="2" t="s">
        <v>1138</v>
      </c>
      <c r="F340" s="2" t="s">
        <v>186</v>
      </c>
      <c r="G340" s="2" t="s">
        <v>186</v>
      </c>
      <c r="H340" s="5" t="n">
        <v>1200</v>
      </c>
      <c r="I340" s="6" t="n">
        <f aca="false">INDEX(SUPPLIERS!$D$3:$D$30,MATCH(C340,SUPPLIERS!$A$3:$A$30,0))</f>
        <v>0</v>
      </c>
      <c r="J340" s="5" t="n">
        <f aca="false">H340*(1-I340)</f>
        <v>1200</v>
      </c>
      <c r="M340" s="5" t="str">
        <f aca="false">IF(K340="","",J340/K340)</f>
        <v/>
      </c>
      <c r="N340" s="2" t="n">
        <v>4.74</v>
      </c>
      <c r="O340" s="13" t="n">
        <v>0.005925</v>
      </c>
      <c r="P340" s="2" t="s">
        <v>773</v>
      </c>
      <c r="Q340" s="14" t="n">
        <f aca="false">MAX(N340/DRIVERS!$B$5,O340/DRIVERS!$B$6)</f>
        <v>0.00158</v>
      </c>
      <c r="R340" s="15" t="n">
        <f aca="false">ROUNDDOWN(1/Q340,0)</f>
        <v>632</v>
      </c>
      <c r="S340" s="5" t="n">
        <f aca="false">DRIVERS!$B$23*Q340/DRIVERS!$B$24</f>
        <v>8.2016628080175</v>
      </c>
      <c r="T340" s="5" t="n">
        <f aca="false">J340*INDEX(DRIVERS!$C$32:$C$42,MATCH(B340,DRIVERS!$A$32:$A$42,0))</f>
        <v>24</v>
      </c>
      <c r="U340" s="5" t="n">
        <f aca="false">J340*INDEX(SUPPLIERS!$E$3:$E$30,MATCH(C340,SUPPLIERS!$A$3:$A$30,0))</f>
        <v>0</v>
      </c>
      <c r="V340" s="5" t="n">
        <v>0</v>
      </c>
      <c r="W340" s="5" t="n">
        <f aca="false">J340+S340+T340+U340+V340</f>
        <v>1232.20166280802</v>
      </c>
      <c r="X340" s="9" t="n">
        <f aca="false">W340/J340-1</f>
        <v>0.0268347190066813</v>
      </c>
      <c r="Y340" s="6" t="n">
        <f aca="false">INDEX(DRIVERS!$B$32:$B$42,MATCH(B340,DRIVERS!$A$32:$A$42,0))</f>
        <v>0.3</v>
      </c>
      <c r="Z340" s="5" t="n">
        <f aca="false">W340*(1+Y340)</f>
        <v>1601.86216165042</v>
      </c>
      <c r="AA340" s="5" t="n">
        <f aca="false">W340*(1+Y340+DRIVERS!$B$26)*(1+DRIVERS!$B$27)</f>
        <v>1863.08891416572</v>
      </c>
      <c r="AB340" s="2" t="s">
        <v>218</v>
      </c>
      <c r="AC340" s="8"/>
    </row>
    <row r="341" customFormat="false" ht="15" hidden="false" customHeight="false" outlineLevel="0" collapsed="false">
      <c r="A341" s="2" t="s">
        <v>1197</v>
      </c>
      <c r="B341" s="2" t="s">
        <v>1198</v>
      </c>
      <c r="C341" s="2" t="s">
        <v>93</v>
      </c>
      <c r="D341" s="2" t="s">
        <v>1199</v>
      </c>
      <c r="E341" s="2" t="s">
        <v>1200</v>
      </c>
      <c r="F341" s="2" t="s">
        <v>186</v>
      </c>
      <c r="G341" s="2" t="s">
        <v>186</v>
      </c>
      <c r="H341" s="5" t="n">
        <v>1400</v>
      </c>
      <c r="I341" s="6" t="n">
        <f aca="false">INDEX(SUPPLIERS!$D$3:$D$30,MATCH(C341,SUPPLIERS!$A$3:$A$30,0))</f>
        <v>0</v>
      </c>
      <c r="J341" s="5" t="n">
        <f aca="false">H341*(1-I341)</f>
        <v>1400</v>
      </c>
      <c r="M341" s="5" t="str">
        <f aca="false">IF(K341="","",J341/K341)</f>
        <v/>
      </c>
      <c r="N341" s="2" t="n">
        <v>0.2</v>
      </c>
      <c r="O341" s="13" t="n">
        <v>0.001</v>
      </c>
      <c r="P341" s="2" t="s">
        <v>239</v>
      </c>
      <c r="Q341" s="14" t="n">
        <f aca="false">MAX(N341/DRIVERS!$B$5,O341/DRIVERS!$B$6)</f>
        <v>7.00567435600379E-005</v>
      </c>
      <c r="R341" s="15" t="n">
        <f aca="false">ROUNDDOWN(1/Q341,0)</f>
        <v>14274</v>
      </c>
      <c r="S341" s="5" t="n">
        <f aca="false">DRIVERS!$B$23*Q341/DRIVERS!$B$24</f>
        <v>0.363659359561508</v>
      </c>
      <c r="T341" s="5" t="n">
        <f aca="false">J341*INDEX(DRIVERS!$C$32:$C$42,MATCH(B341,DRIVERS!$A$32:$A$42,0))</f>
        <v>0</v>
      </c>
      <c r="U341" s="5" t="n">
        <f aca="false">J341*INDEX(SUPPLIERS!$E$3:$E$30,MATCH(C341,SUPPLIERS!$A$3:$A$30,0))</f>
        <v>0</v>
      </c>
      <c r="V341" s="5" t="n">
        <v>0</v>
      </c>
      <c r="W341" s="5" t="n">
        <f aca="false">J341+S341+T341+U341+V341</f>
        <v>1400.36365935956</v>
      </c>
      <c r="X341" s="9" t="n">
        <f aca="false">W341/J341-1</f>
        <v>0.000259756685401014</v>
      </c>
      <c r="Y341" s="6" t="n">
        <f aca="false">INDEX(DRIVERS!$B$32:$B$42,MATCH(B341,DRIVERS!$A$32:$A$42,0))</f>
        <v>0.3</v>
      </c>
      <c r="Z341" s="5" t="n">
        <f aca="false">W341*(1+Y341)</f>
        <v>1820.47275716743</v>
      </c>
      <c r="AA341" s="5" t="n">
        <f aca="false">W341*(1+Y341+DRIVERS!$B$26)*(1+DRIVERS!$B$27)</f>
        <v>2117.34985295166</v>
      </c>
      <c r="AB341" s="2" t="s">
        <v>189</v>
      </c>
      <c r="AC341" s="5" t="n">
        <v>1400</v>
      </c>
    </row>
    <row r="342" customFormat="false" ht="15" hidden="false" customHeight="false" outlineLevel="0" collapsed="false">
      <c r="A342" s="2" t="s">
        <v>1201</v>
      </c>
      <c r="B342" s="2" t="s">
        <v>1198</v>
      </c>
      <c r="C342" s="2" t="s">
        <v>93</v>
      </c>
      <c r="D342" s="2" t="s">
        <v>1202</v>
      </c>
      <c r="E342" s="2" t="s">
        <v>1203</v>
      </c>
      <c r="F342" s="2" t="s">
        <v>186</v>
      </c>
      <c r="G342" s="2" t="s">
        <v>186</v>
      </c>
      <c r="H342" s="5" t="n">
        <v>1500</v>
      </c>
      <c r="I342" s="6" t="n">
        <f aca="false">INDEX(SUPPLIERS!$D$3:$D$30,MATCH(C342,SUPPLIERS!$A$3:$A$30,0))</f>
        <v>0</v>
      </c>
      <c r="J342" s="5" t="n">
        <f aca="false">H342*(1-I342)</f>
        <v>1500</v>
      </c>
      <c r="M342" s="5" t="str">
        <f aca="false">IF(K342="","",J342/K342)</f>
        <v/>
      </c>
      <c r="N342" s="2" t="n">
        <v>2</v>
      </c>
      <c r="O342" s="13" t="n">
        <v>0.01</v>
      </c>
      <c r="P342" s="2" t="s">
        <v>239</v>
      </c>
      <c r="Q342" s="14" t="n">
        <f aca="false">MAX(N342/DRIVERS!$B$5,O342/DRIVERS!$B$6)</f>
        <v>0.000700567435600379</v>
      </c>
      <c r="R342" s="15" t="n">
        <f aca="false">ROUNDDOWN(1/Q342,0)</f>
        <v>1427</v>
      </c>
      <c r="S342" s="5" t="n">
        <f aca="false">DRIVERS!$B$23*Q342/DRIVERS!$B$24</f>
        <v>3.63659359561508</v>
      </c>
      <c r="T342" s="5" t="n">
        <f aca="false">J342*INDEX(DRIVERS!$C$32:$C$42,MATCH(B342,DRIVERS!$A$32:$A$42,0))</f>
        <v>0</v>
      </c>
      <c r="U342" s="5" t="n">
        <f aca="false">J342*INDEX(SUPPLIERS!$E$3:$E$30,MATCH(C342,SUPPLIERS!$A$3:$A$30,0))</f>
        <v>0</v>
      </c>
      <c r="V342" s="5" t="n">
        <v>0</v>
      </c>
      <c r="W342" s="5" t="n">
        <f aca="false">J342+S342+T342+U342+V342</f>
        <v>1503.63659359562</v>
      </c>
      <c r="X342" s="9" t="n">
        <f aca="false">W342/J342-1</f>
        <v>0.00242439573040998</v>
      </c>
      <c r="Y342" s="6" t="n">
        <f aca="false">INDEX(DRIVERS!$B$32:$B$42,MATCH(B342,DRIVERS!$A$32:$A$42,0))</f>
        <v>0.3</v>
      </c>
      <c r="Z342" s="5" t="n">
        <f aca="false">W342*(1+Y342)</f>
        <v>1954.7275716743</v>
      </c>
      <c r="AA342" s="5" t="n">
        <f aca="false">W342*(1+Y342+DRIVERS!$B$26)*(1+DRIVERS!$B$27)</f>
        <v>2273.49852951657</v>
      </c>
      <c r="AB342" s="2" t="s">
        <v>189</v>
      </c>
      <c r="AC342" s="5" t="n">
        <v>1500</v>
      </c>
      <c r="AD342" s="2" t="s">
        <v>1204</v>
      </c>
    </row>
    <row r="343" customFormat="false" ht="15" hidden="false" customHeight="false" outlineLevel="0" collapsed="false">
      <c r="A343" s="2" t="s">
        <v>1205</v>
      </c>
      <c r="B343" s="2" t="s">
        <v>1198</v>
      </c>
      <c r="C343" s="2" t="s">
        <v>90</v>
      </c>
      <c r="D343" s="2" t="s">
        <v>1206</v>
      </c>
      <c r="E343" s="2" t="s">
        <v>1207</v>
      </c>
      <c r="F343" s="2" t="s">
        <v>186</v>
      </c>
      <c r="G343" s="2" t="s">
        <v>186</v>
      </c>
      <c r="H343" s="5" t="n">
        <v>550</v>
      </c>
      <c r="I343" s="6" t="n">
        <f aca="false">INDEX(SUPPLIERS!$D$3:$D$30,MATCH(C343,SUPPLIERS!$A$3:$A$30,0))</f>
        <v>0</v>
      </c>
      <c r="J343" s="5" t="n">
        <f aca="false">H343*(1-I343)</f>
        <v>550</v>
      </c>
      <c r="M343" s="5" t="str">
        <f aca="false">IF(K343="","",J343/K343)</f>
        <v/>
      </c>
      <c r="N343" s="2" t="n">
        <v>2</v>
      </c>
      <c r="O343" s="13" t="n">
        <v>0.005</v>
      </c>
      <c r="P343" s="2" t="s">
        <v>1208</v>
      </c>
      <c r="Q343" s="14" t="n">
        <f aca="false">MAX(N343/DRIVERS!$B$5,O343/DRIVERS!$B$6)</f>
        <v>0.000666666666666667</v>
      </c>
      <c r="R343" s="15" t="n">
        <f aca="false">ROUNDDOWN(1/Q343,0)</f>
        <v>1500</v>
      </c>
      <c r="S343" s="5" t="n">
        <f aca="false">DRIVERS!$B$23*Q343/DRIVERS!$B$24</f>
        <v>3.46061721857279</v>
      </c>
      <c r="T343" s="5" t="n">
        <f aca="false">J343*INDEX(DRIVERS!$C$32:$C$42,MATCH(B343,DRIVERS!$A$32:$A$42,0))</f>
        <v>0</v>
      </c>
      <c r="U343" s="5" t="n">
        <f aca="false">J343*INDEX(SUPPLIERS!$E$3:$E$30,MATCH(C343,SUPPLIERS!$A$3:$A$30,0))</f>
        <v>0</v>
      </c>
      <c r="V343" s="5" t="n">
        <v>0</v>
      </c>
      <c r="W343" s="5" t="n">
        <f aca="false">J343+S343+T343+U343+V343</f>
        <v>553.460617218573</v>
      </c>
      <c r="X343" s="9" t="n">
        <f aca="false">W343/J343-1</f>
        <v>0.00629203130649603</v>
      </c>
      <c r="Y343" s="6" t="n">
        <f aca="false">INDEX(DRIVERS!$B$32:$B$42,MATCH(B343,DRIVERS!$A$32:$A$42,0))</f>
        <v>0.3</v>
      </c>
      <c r="Z343" s="5" t="n">
        <f aca="false">W343*(1+Y343)</f>
        <v>719.498802384145</v>
      </c>
      <c r="AA343" s="5" t="n">
        <f aca="false">W343*(1+Y343+DRIVERS!$B$26)*(1+DRIVERS!$B$27)</f>
        <v>836.832453234482</v>
      </c>
      <c r="AB343" s="2" t="s">
        <v>205</v>
      </c>
      <c r="AC343" s="8"/>
    </row>
    <row r="344" customFormat="false" ht="15" hidden="false" customHeight="false" outlineLevel="0" collapsed="false">
      <c r="A344" s="2" t="s">
        <v>1209</v>
      </c>
      <c r="B344" s="2" t="s">
        <v>1198</v>
      </c>
      <c r="C344" s="2" t="s">
        <v>90</v>
      </c>
      <c r="D344" s="2" t="s">
        <v>1210</v>
      </c>
      <c r="E344" s="2" t="s">
        <v>1207</v>
      </c>
      <c r="F344" s="2" t="s">
        <v>186</v>
      </c>
      <c r="G344" s="2" t="s">
        <v>186</v>
      </c>
      <c r="H344" s="5" t="n">
        <v>750</v>
      </c>
      <c r="I344" s="6" t="n">
        <f aca="false">INDEX(SUPPLIERS!$D$3:$D$30,MATCH(C344,SUPPLIERS!$A$3:$A$30,0))</f>
        <v>0</v>
      </c>
      <c r="J344" s="5" t="n">
        <f aca="false">H344*(1-I344)</f>
        <v>750</v>
      </c>
      <c r="M344" s="5" t="str">
        <f aca="false">IF(K344="","",J344/K344)</f>
        <v/>
      </c>
      <c r="N344" s="2" t="n">
        <v>2.9</v>
      </c>
      <c r="O344" s="13" t="n">
        <v>0.00374</v>
      </c>
      <c r="P344" s="2" t="s">
        <v>310</v>
      </c>
      <c r="Q344" s="14" t="n">
        <f aca="false">MAX(N344/DRIVERS!$B$5,O344/DRIVERS!$B$6)</f>
        <v>0.000966666666666667</v>
      </c>
      <c r="R344" s="15" t="n">
        <f aca="false">ROUNDDOWN(1/Q344,0)</f>
        <v>1034</v>
      </c>
      <c r="S344" s="5" t="n">
        <f aca="false">DRIVERS!$B$23*Q344/DRIVERS!$B$24</f>
        <v>5.01789496693054</v>
      </c>
      <c r="T344" s="5" t="n">
        <f aca="false">J344*INDEX(DRIVERS!$C$32:$C$42,MATCH(B344,DRIVERS!$A$32:$A$42,0))</f>
        <v>0</v>
      </c>
      <c r="U344" s="5" t="n">
        <f aca="false">J344*INDEX(SUPPLIERS!$E$3:$E$30,MATCH(C344,SUPPLIERS!$A$3:$A$30,0))</f>
        <v>0</v>
      </c>
      <c r="V344" s="5" t="n">
        <v>0</v>
      </c>
      <c r="W344" s="5" t="n">
        <f aca="false">J344+S344+T344+U344+V344</f>
        <v>755.017894966931</v>
      </c>
      <c r="X344" s="9" t="n">
        <f aca="false">W344/J344-1</f>
        <v>0.00669052662257408</v>
      </c>
      <c r="Y344" s="6" t="n">
        <f aca="false">INDEX(DRIVERS!$B$32:$B$42,MATCH(B344,DRIVERS!$A$32:$A$42,0))</f>
        <v>0.3</v>
      </c>
      <c r="Z344" s="5" t="n">
        <f aca="false">W344*(1+Y344)</f>
        <v>981.52326345701</v>
      </c>
      <c r="AA344" s="5" t="n">
        <f aca="false">W344*(1+Y344+DRIVERS!$B$26)*(1+DRIVERS!$B$27)</f>
        <v>1141.58705719</v>
      </c>
      <c r="AB344" s="2" t="s">
        <v>205</v>
      </c>
      <c r="AC344" s="8"/>
    </row>
    <row r="345" customFormat="false" ht="15" hidden="false" customHeight="false" outlineLevel="0" collapsed="false">
      <c r="A345" s="2" t="s">
        <v>1211</v>
      </c>
      <c r="B345" s="2" t="s">
        <v>1198</v>
      </c>
      <c r="C345" s="2" t="s">
        <v>90</v>
      </c>
      <c r="D345" s="2" t="s">
        <v>1212</v>
      </c>
      <c r="E345" s="2" t="s">
        <v>1207</v>
      </c>
      <c r="F345" s="2" t="s">
        <v>840</v>
      </c>
      <c r="G345" s="2" t="s">
        <v>840</v>
      </c>
      <c r="H345" s="5" t="n">
        <v>2500</v>
      </c>
      <c r="I345" s="6" t="n">
        <f aca="false">INDEX(SUPPLIERS!$D$3:$D$30,MATCH(C345,SUPPLIERS!$A$3:$A$30,0))</f>
        <v>0</v>
      </c>
      <c r="J345" s="5" t="n">
        <f aca="false">H345*(1-I345)</f>
        <v>2500</v>
      </c>
      <c r="M345" s="5" t="str">
        <f aca="false">IF(K345="","",J345/K345)</f>
        <v/>
      </c>
      <c r="N345" s="2" t="n">
        <v>2</v>
      </c>
      <c r="O345" s="13" t="n">
        <v>0.005</v>
      </c>
      <c r="P345" s="2" t="s">
        <v>1213</v>
      </c>
      <c r="Q345" s="14" t="n">
        <f aca="false">MAX(N345/DRIVERS!$B$5,O345/DRIVERS!$B$6)</f>
        <v>0.000666666666666667</v>
      </c>
      <c r="R345" s="15" t="n">
        <f aca="false">ROUNDDOWN(1/Q345,0)</f>
        <v>1500</v>
      </c>
      <c r="S345" s="5" t="n">
        <f aca="false">DRIVERS!$B$23*Q345/DRIVERS!$B$24</f>
        <v>3.46061721857279</v>
      </c>
      <c r="T345" s="5" t="n">
        <f aca="false">J345*INDEX(DRIVERS!$C$32:$C$42,MATCH(B345,DRIVERS!$A$32:$A$42,0))</f>
        <v>0</v>
      </c>
      <c r="U345" s="5" t="n">
        <f aca="false">J345*INDEX(SUPPLIERS!$E$3:$E$30,MATCH(C345,SUPPLIERS!$A$3:$A$30,0))</f>
        <v>0</v>
      </c>
      <c r="V345" s="5" t="n">
        <v>0</v>
      </c>
      <c r="W345" s="5" t="n">
        <f aca="false">J345+S345+T345+U345+V345</f>
        <v>2503.46061721857</v>
      </c>
      <c r="X345" s="9" t="n">
        <f aca="false">W345/J345-1</f>
        <v>0.001384246887429</v>
      </c>
      <c r="Y345" s="6" t="n">
        <f aca="false">INDEX(DRIVERS!$B$32:$B$42,MATCH(B345,DRIVERS!$A$32:$A$42,0))</f>
        <v>0.3</v>
      </c>
      <c r="Z345" s="5" t="n">
        <f aca="false">W345*(1+Y345)</f>
        <v>3254.49880238414</v>
      </c>
      <c r="AA345" s="5" t="n">
        <f aca="false">W345*(1+Y345+DRIVERS!$B$26)*(1+DRIVERS!$B$27)</f>
        <v>3785.23245323448</v>
      </c>
      <c r="AB345" s="2" t="s">
        <v>205</v>
      </c>
      <c r="AC345" s="8"/>
      <c r="AD345" s="2" t="s">
        <v>1214</v>
      </c>
    </row>
    <row r="346" customFormat="false" ht="15" hidden="false" customHeight="false" outlineLevel="0" collapsed="false">
      <c r="A346" s="2" t="s">
        <v>1215</v>
      </c>
      <c r="B346" s="2" t="s">
        <v>1198</v>
      </c>
      <c r="C346" s="2" t="s">
        <v>90</v>
      </c>
      <c r="D346" s="2" t="s">
        <v>1216</v>
      </c>
      <c r="E346" s="2" t="s">
        <v>1207</v>
      </c>
      <c r="F346" s="2" t="s">
        <v>186</v>
      </c>
      <c r="G346" s="2" t="s">
        <v>186</v>
      </c>
      <c r="H346" s="5" t="n">
        <v>3000</v>
      </c>
      <c r="I346" s="6" t="n">
        <f aca="false">INDEX(SUPPLIERS!$D$3:$D$30,MATCH(C346,SUPPLIERS!$A$3:$A$30,0))</f>
        <v>0</v>
      </c>
      <c r="J346" s="5" t="n">
        <f aca="false">H346*(1-I346)</f>
        <v>3000</v>
      </c>
      <c r="M346" s="5" t="str">
        <f aca="false">IF(K346="","",J346/K346)</f>
        <v/>
      </c>
      <c r="N346" s="2" t="n">
        <v>1.35</v>
      </c>
      <c r="O346" s="13" t="n">
        <v>0.005</v>
      </c>
      <c r="P346" s="2" t="s">
        <v>310</v>
      </c>
      <c r="Q346" s="14" t="n">
        <f aca="false">MAX(N346/DRIVERS!$B$5,O346/DRIVERS!$B$6)</f>
        <v>0.00045</v>
      </c>
      <c r="R346" s="15" t="n">
        <f aca="false">ROUNDDOWN(1/Q346,0)</f>
        <v>2222</v>
      </c>
      <c r="S346" s="5" t="n">
        <f aca="false">DRIVERS!$B$23*Q346/DRIVERS!$B$24</f>
        <v>2.33591662253663</v>
      </c>
      <c r="T346" s="5" t="n">
        <f aca="false">J346*INDEX(DRIVERS!$C$32:$C$42,MATCH(B346,DRIVERS!$A$32:$A$42,0))</f>
        <v>0</v>
      </c>
      <c r="U346" s="5" t="n">
        <f aca="false">J346*INDEX(SUPPLIERS!$E$3:$E$30,MATCH(C346,SUPPLIERS!$A$3:$A$30,0))</f>
        <v>0</v>
      </c>
      <c r="V346" s="5" t="n">
        <v>0</v>
      </c>
      <c r="W346" s="5" t="n">
        <f aca="false">J346+S346+T346+U346+V346</f>
        <v>3002.33591662254</v>
      </c>
      <c r="X346" s="9" t="n">
        <f aca="false">W346/J346-1</f>
        <v>0.000778638874178839</v>
      </c>
      <c r="Y346" s="6" t="n">
        <f aca="false">INDEX(DRIVERS!$B$32:$B$42,MATCH(B346,DRIVERS!$A$32:$A$42,0))</f>
        <v>0.3</v>
      </c>
      <c r="Z346" s="5" t="n">
        <f aca="false">W346*(1+Y346)</f>
        <v>3903.0366916093</v>
      </c>
      <c r="AA346" s="5" t="n">
        <f aca="false">W346*(1+Y346+DRIVERS!$B$26)*(1+DRIVERS!$B$27)</f>
        <v>4539.53190593328</v>
      </c>
      <c r="AB346" s="2" t="s">
        <v>205</v>
      </c>
      <c r="AC346" s="8"/>
    </row>
    <row r="347" customFormat="false" ht="15" hidden="false" customHeight="false" outlineLevel="0" collapsed="false">
      <c r="A347" s="2" t="s">
        <v>1217</v>
      </c>
      <c r="B347" s="2" t="s">
        <v>1198</v>
      </c>
      <c r="C347" s="2" t="s">
        <v>90</v>
      </c>
      <c r="D347" s="2" t="s">
        <v>1218</v>
      </c>
      <c r="E347" s="2" t="s">
        <v>1207</v>
      </c>
      <c r="F347" s="2" t="s">
        <v>186</v>
      </c>
      <c r="G347" s="2" t="s">
        <v>186</v>
      </c>
      <c r="H347" s="5" t="n">
        <v>9800</v>
      </c>
      <c r="I347" s="6" t="n">
        <f aca="false">INDEX(SUPPLIERS!$D$3:$D$30,MATCH(C347,SUPPLIERS!$A$3:$A$30,0))</f>
        <v>0</v>
      </c>
      <c r="J347" s="5" t="n">
        <f aca="false">H347*(1-I347)</f>
        <v>9800</v>
      </c>
      <c r="M347" s="5" t="str">
        <f aca="false">IF(K347="","",J347/K347)</f>
        <v/>
      </c>
      <c r="N347" s="2" t="n">
        <v>5.5</v>
      </c>
      <c r="O347" s="13" t="n">
        <v>0.0143</v>
      </c>
      <c r="P347" s="2" t="s">
        <v>310</v>
      </c>
      <c r="Q347" s="14" t="n">
        <f aca="false">MAX(N347/DRIVERS!$B$5,O347/DRIVERS!$B$6)</f>
        <v>0.00183333333333333</v>
      </c>
      <c r="R347" s="15" t="n">
        <f aca="false">ROUNDDOWN(1/Q347,0)</f>
        <v>545</v>
      </c>
      <c r="S347" s="5" t="n">
        <f aca="false">DRIVERS!$B$23*Q347/DRIVERS!$B$24</f>
        <v>9.51669735107516</v>
      </c>
      <c r="T347" s="5" t="n">
        <f aca="false">J347*INDEX(DRIVERS!$C$32:$C$42,MATCH(B347,DRIVERS!$A$32:$A$42,0))</f>
        <v>0</v>
      </c>
      <c r="U347" s="5" t="n">
        <f aca="false">J347*INDEX(SUPPLIERS!$E$3:$E$30,MATCH(C347,SUPPLIERS!$A$3:$A$30,0))</f>
        <v>0</v>
      </c>
      <c r="V347" s="5" t="n">
        <v>0</v>
      </c>
      <c r="W347" s="5" t="n">
        <f aca="false">J347+S347+T347+U347+V347</f>
        <v>9809.51669735108</v>
      </c>
      <c r="X347" s="9" t="n">
        <f aca="false">W347/J347-1</f>
        <v>0.000971091566436266</v>
      </c>
      <c r="Y347" s="6" t="n">
        <f aca="false">INDEX(DRIVERS!$B$32:$B$42,MATCH(B347,DRIVERS!$A$32:$A$42,0))</f>
        <v>0.3</v>
      </c>
      <c r="Z347" s="5" t="n">
        <f aca="false">W347*(1+Y347)</f>
        <v>12752.3717065564</v>
      </c>
      <c r="AA347" s="5" t="n">
        <f aca="false">W347*(1+Y347+DRIVERS!$B$26)*(1+DRIVERS!$B$27)</f>
        <v>14831.9892463948</v>
      </c>
      <c r="AB347" s="2" t="s">
        <v>205</v>
      </c>
      <c r="AC347" s="8"/>
    </row>
    <row r="348" customFormat="false" ht="15" hidden="false" customHeight="false" outlineLevel="0" collapsed="false">
      <c r="A348" s="2" t="s">
        <v>1219</v>
      </c>
      <c r="B348" s="2" t="s">
        <v>1198</v>
      </c>
      <c r="C348" s="2" t="s">
        <v>90</v>
      </c>
      <c r="D348" s="2" t="s">
        <v>1220</v>
      </c>
      <c r="E348" s="2" t="s">
        <v>1207</v>
      </c>
      <c r="F348" s="2" t="s">
        <v>635</v>
      </c>
      <c r="G348" s="2" t="s">
        <v>635</v>
      </c>
      <c r="H348" s="5" t="n">
        <v>25000</v>
      </c>
      <c r="I348" s="6" t="n">
        <f aca="false">INDEX(SUPPLIERS!$D$3:$D$30,MATCH(C348,SUPPLIERS!$A$3:$A$30,0))</f>
        <v>0</v>
      </c>
      <c r="J348" s="5" t="n">
        <f aca="false">H348*(1-I348)</f>
        <v>25000</v>
      </c>
      <c r="M348" s="5" t="str">
        <f aca="false">IF(K348="","",J348/K348)</f>
        <v/>
      </c>
      <c r="N348" s="2" t="n">
        <v>5.5</v>
      </c>
      <c r="O348" s="13" t="n">
        <v>0.033</v>
      </c>
      <c r="P348" s="2" t="s">
        <v>310</v>
      </c>
      <c r="Q348" s="14" t="n">
        <f aca="false">MAX(N348/DRIVERS!$B$5,O348/DRIVERS!$B$6)</f>
        <v>0.00231187253748125</v>
      </c>
      <c r="R348" s="15" t="n">
        <f aca="false">ROUNDDOWN(1/Q348,0)</f>
        <v>432</v>
      </c>
      <c r="S348" s="5" t="n">
        <f aca="false">DRIVERS!$B$23*Q348/DRIVERS!$B$24</f>
        <v>12.0007588655298</v>
      </c>
      <c r="T348" s="5" t="n">
        <f aca="false">J348*INDEX(DRIVERS!$C$32:$C$42,MATCH(B348,DRIVERS!$A$32:$A$42,0))</f>
        <v>0</v>
      </c>
      <c r="U348" s="5" t="n">
        <f aca="false">J348*INDEX(SUPPLIERS!$E$3:$E$30,MATCH(C348,SUPPLIERS!$A$3:$A$30,0))</f>
        <v>0</v>
      </c>
      <c r="V348" s="5" t="n">
        <v>0</v>
      </c>
      <c r="W348" s="5" t="n">
        <f aca="false">J348+S348+T348+U348+V348</f>
        <v>25012.0007588655</v>
      </c>
      <c r="X348" s="9" t="n">
        <f aca="false">W348/J348-1</f>
        <v>0.000480030354621075</v>
      </c>
      <c r="Y348" s="6" t="n">
        <f aca="false">INDEX(DRIVERS!$B$32:$B$42,MATCH(B348,DRIVERS!$A$32:$A$42,0))</f>
        <v>0.3</v>
      </c>
      <c r="Z348" s="5" t="n">
        <f aca="false">W348*(1+Y348)</f>
        <v>32515.6009865252</v>
      </c>
      <c r="AA348" s="5" t="n">
        <f aca="false">W348*(1+Y348+DRIVERS!$B$26)*(1+DRIVERS!$B$27)</f>
        <v>37818.1451474047</v>
      </c>
      <c r="AB348" s="2" t="s">
        <v>205</v>
      </c>
      <c r="AC348" s="8"/>
    </row>
    <row r="349" customFormat="false" ht="15" hidden="false" customHeight="false" outlineLevel="0" collapsed="false">
      <c r="A349" s="2" t="s">
        <v>1221</v>
      </c>
      <c r="B349" s="2" t="s">
        <v>1198</v>
      </c>
      <c r="C349" s="2" t="s">
        <v>90</v>
      </c>
      <c r="D349" s="2" t="s">
        <v>1222</v>
      </c>
      <c r="E349" s="2" t="s">
        <v>1223</v>
      </c>
      <c r="F349" s="2" t="s">
        <v>186</v>
      </c>
      <c r="G349" s="2" t="s">
        <v>186</v>
      </c>
      <c r="H349" s="5" t="n">
        <v>1500</v>
      </c>
      <c r="I349" s="6" t="n">
        <f aca="false">INDEX(SUPPLIERS!$D$3:$D$30,MATCH(C349,SUPPLIERS!$A$3:$A$30,0))</f>
        <v>0</v>
      </c>
      <c r="J349" s="5" t="n">
        <f aca="false">H349*(1-I349)</f>
        <v>1500</v>
      </c>
      <c r="M349" s="5" t="str">
        <f aca="false">IF(K349="","",J349/K349)</f>
        <v/>
      </c>
      <c r="N349" s="2" t="n">
        <v>0.08</v>
      </c>
      <c r="O349" s="13" t="n">
        <v>0.00041</v>
      </c>
      <c r="P349" s="2" t="s">
        <v>310</v>
      </c>
      <c r="Q349" s="14" t="n">
        <f aca="false">MAX(N349/DRIVERS!$B$5,O349/DRIVERS!$B$6)</f>
        <v>2.87232648596155E-005</v>
      </c>
      <c r="R349" s="15" t="n">
        <f aca="false">ROUNDDOWN(1/Q349,0)</f>
        <v>34814</v>
      </c>
      <c r="S349" s="5" t="n">
        <f aca="false">DRIVERS!$B$23*Q349/DRIVERS!$B$24</f>
        <v>0.149100337420218</v>
      </c>
      <c r="T349" s="5" t="n">
        <f aca="false">J349*INDEX(DRIVERS!$C$32:$C$42,MATCH(B349,DRIVERS!$A$32:$A$42,0))</f>
        <v>0</v>
      </c>
      <c r="U349" s="5" t="n">
        <f aca="false">J349*INDEX(SUPPLIERS!$E$3:$E$30,MATCH(C349,SUPPLIERS!$A$3:$A$30,0))</f>
        <v>0</v>
      </c>
      <c r="V349" s="5" t="n">
        <v>0</v>
      </c>
      <c r="W349" s="5" t="n">
        <f aca="false">J349+S349+T349+U349+V349</f>
        <v>1500.14910033742</v>
      </c>
      <c r="X349" s="9" t="n">
        <f aca="false">W349/J349-1</f>
        <v>9.94002249468107E-005</v>
      </c>
      <c r="Y349" s="6" t="n">
        <f aca="false">INDEX(DRIVERS!$B$32:$B$42,MATCH(B349,DRIVERS!$A$32:$A$42,0))</f>
        <v>0.3</v>
      </c>
      <c r="Z349" s="5" t="n">
        <f aca="false">W349*(1+Y349)</f>
        <v>1950.19383043865</v>
      </c>
      <c r="AA349" s="5" t="n">
        <f aca="false">W349*(1+Y349+DRIVERS!$B$26)*(1+DRIVERS!$B$27)</f>
        <v>2268.22543971018</v>
      </c>
      <c r="AB349" s="2" t="s">
        <v>205</v>
      </c>
      <c r="AC349" s="8"/>
    </row>
    <row r="350" customFormat="false" ht="15" hidden="false" customHeight="false" outlineLevel="0" collapsed="false">
      <c r="A350" s="2" t="s">
        <v>1224</v>
      </c>
      <c r="B350" s="2" t="s">
        <v>1198</v>
      </c>
      <c r="C350" s="2" t="s">
        <v>90</v>
      </c>
      <c r="D350" s="2" t="s">
        <v>1225</v>
      </c>
      <c r="E350" s="2" t="s">
        <v>1226</v>
      </c>
      <c r="F350" s="2" t="s">
        <v>186</v>
      </c>
      <c r="G350" s="2" t="s">
        <v>186</v>
      </c>
      <c r="H350" s="5" t="n">
        <v>1500</v>
      </c>
      <c r="I350" s="6" t="n">
        <f aca="false">INDEX(SUPPLIERS!$D$3:$D$30,MATCH(C350,SUPPLIERS!$A$3:$A$30,0))</f>
        <v>0</v>
      </c>
      <c r="J350" s="5" t="n">
        <f aca="false">H350*(1-I350)</f>
        <v>1500</v>
      </c>
      <c r="M350" s="5" t="str">
        <f aca="false">IF(K350="","",J350/K350)</f>
        <v/>
      </c>
      <c r="N350" s="2" t="n">
        <v>0.2</v>
      </c>
      <c r="O350" s="13" t="n">
        <v>0.00075</v>
      </c>
      <c r="P350" s="2" t="s">
        <v>310</v>
      </c>
      <c r="Q350" s="14" t="n">
        <f aca="false">MAX(N350/DRIVERS!$B$5,O350/DRIVERS!$B$6)</f>
        <v>6.66666666666667E-005</v>
      </c>
      <c r="R350" s="15" t="n">
        <f aca="false">ROUNDDOWN(1/Q350,0)</f>
        <v>15000</v>
      </c>
      <c r="S350" s="5" t="n">
        <f aca="false">DRIVERS!$B$23*Q350/DRIVERS!$B$24</f>
        <v>0.346061721857279</v>
      </c>
      <c r="T350" s="5" t="n">
        <f aca="false">J350*INDEX(DRIVERS!$C$32:$C$42,MATCH(B350,DRIVERS!$A$32:$A$42,0))</f>
        <v>0</v>
      </c>
      <c r="U350" s="5" t="n">
        <f aca="false">J350*INDEX(SUPPLIERS!$E$3:$E$30,MATCH(C350,SUPPLIERS!$A$3:$A$30,0))</f>
        <v>0</v>
      </c>
      <c r="V350" s="5" t="n">
        <v>0</v>
      </c>
      <c r="W350" s="5" t="n">
        <f aca="false">J350+S350+T350+U350+V350</f>
        <v>1500.34606172186</v>
      </c>
      <c r="X350" s="9" t="n">
        <f aca="false">W350/J350-1</f>
        <v>0.000230707814571574</v>
      </c>
      <c r="Y350" s="6" t="n">
        <f aca="false">INDEX(DRIVERS!$B$32:$B$42,MATCH(B350,DRIVERS!$A$32:$A$42,0))</f>
        <v>0.3</v>
      </c>
      <c r="Z350" s="5" t="n">
        <f aca="false">W350*(1+Y350)</f>
        <v>1950.44988023841</v>
      </c>
      <c r="AA350" s="5" t="n">
        <f aca="false">W350*(1+Y350+DRIVERS!$B$26)*(1+DRIVERS!$B$27)</f>
        <v>2268.52324532345</v>
      </c>
      <c r="AB350" s="2" t="s">
        <v>205</v>
      </c>
      <c r="AC350" s="8"/>
    </row>
    <row r="351" customFormat="false" ht="15" hidden="false" customHeight="false" outlineLevel="0" collapsed="false">
      <c r="A351" s="2" t="s">
        <v>1227</v>
      </c>
      <c r="B351" s="2" t="s">
        <v>1198</v>
      </c>
      <c r="C351" s="2" t="s">
        <v>90</v>
      </c>
      <c r="D351" s="2" t="s">
        <v>1228</v>
      </c>
      <c r="E351" s="2" t="s">
        <v>1229</v>
      </c>
      <c r="F351" s="2" t="s">
        <v>186</v>
      </c>
      <c r="G351" s="2" t="s">
        <v>186</v>
      </c>
      <c r="H351" s="5" t="n">
        <v>2500</v>
      </c>
      <c r="I351" s="6" t="n">
        <f aca="false">INDEX(SUPPLIERS!$D$3:$D$30,MATCH(C351,SUPPLIERS!$A$3:$A$30,0))</f>
        <v>0</v>
      </c>
      <c r="J351" s="5" t="n">
        <f aca="false">H351*(1-I351)</f>
        <v>2500</v>
      </c>
      <c r="M351" s="5" t="str">
        <f aca="false">IF(K351="","",J351/K351)</f>
        <v/>
      </c>
      <c r="N351" s="2" t="n">
        <v>0.15</v>
      </c>
      <c r="O351" s="13" t="n">
        <v>0.00331</v>
      </c>
      <c r="P351" s="2" t="s">
        <v>310</v>
      </c>
      <c r="Q351" s="14" t="n">
        <f aca="false">MAX(N351/DRIVERS!$B$5,O351/DRIVERS!$B$6)</f>
        <v>0.000231887821183725</v>
      </c>
      <c r="R351" s="15" t="n">
        <f aca="false">ROUNDDOWN(1/Q351,0)</f>
        <v>4312</v>
      </c>
      <c r="S351" s="5" t="n">
        <f aca="false">DRIVERS!$B$23*Q351/DRIVERS!$B$24</f>
        <v>1.20371248014859</v>
      </c>
      <c r="T351" s="5" t="n">
        <f aca="false">J351*INDEX(DRIVERS!$C$32:$C$42,MATCH(B351,DRIVERS!$A$32:$A$42,0))</f>
        <v>0</v>
      </c>
      <c r="U351" s="5" t="n">
        <f aca="false">J351*INDEX(SUPPLIERS!$E$3:$E$30,MATCH(C351,SUPPLIERS!$A$3:$A$30,0))</f>
        <v>0</v>
      </c>
      <c r="V351" s="5" t="n">
        <v>0</v>
      </c>
      <c r="W351" s="5" t="n">
        <f aca="false">J351+S351+T351+U351+V351</f>
        <v>2501.20371248015</v>
      </c>
      <c r="X351" s="9" t="n">
        <f aca="false">W351/J351-1</f>
        <v>0.000481484992059356</v>
      </c>
      <c r="Y351" s="6" t="n">
        <f aca="false">INDEX(DRIVERS!$B$32:$B$42,MATCH(B351,DRIVERS!$A$32:$A$42,0))</f>
        <v>0.3</v>
      </c>
      <c r="Z351" s="5" t="n">
        <f aca="false">W351*(1+Y351)</f>
        <v>3251.56482622419</v>
      </c>
      <c r="AA351" s="5" t="n">
        <f aca="false">W351*(1+Y351+DRIVERS!$B$26)*(1+DRIVERS!$B$27)</f>
        <v>3781.82001326999</v>
      </c>
      <c r="AB351" s="2" t="s">
        <v>205</v>
      </c>
      <c r="AC351" s="8"/>
    </row>
    <row r="352" customFormat="false" ht="15" hidden="false" customHeight="false" outlineLevel="0" collapsed="false">
      <c r="A352" s="2" t="s">
        <v>1230</v>
      </c>
      <c r="B352" s="2" t="s">
        <v>1198</v>
      </c>
      <c r="C352" s="2" t="s">
        <v>90</v>
      </c>
      <c r="D352" s="2" t="s">
        <v>1231</v>
      </c>
      <c r="E352" s="2" t="s">
        <v>1232</v>
      </c>
      <c r="F352" s="2" t="s">
        <v>186</v>
      </c>
      <c r="G352" s="2" t="s">
        <v>186</v>
      </c>
      <c r="H352" s="5" t="n">
        <v>3000</v>
      </c>
      <c r="I352" s="6" t="n">
        <f aca="false">INDEX(SUPPLIERS!$D$3:$D$30,MATCH(C352,SUPPLIERS!$A$3:$A$30,0))</f>
        <v>0</v>
      </c>
      <c r="J352" s="5" t="n">
        <f aca="false">H352*(1-I352)</f>
        <v>3000</v>
      </c>
      <c r="M352" s="5" t="str">
        <f aca="false">IF(K352="","",J352/K352)</f>
        <v/>
      </c>
      <c r="N352" s="2" t="n">
        <v>0.218</v>
      </c>
      <c r="O352" s="13" t="n">
        <v>0.0006</v>
      </c>
      <c r="P352" s="2" t="s">
        <v>310</v>
      </c>
      <c r="Q352" s="14" t="n">
        <f aca="false">MAX(N352/DRIVERS!$B$5,O352/DRIVERS!$B$6)</f>
        <v>7.26666666666667E-005</v>
      </c>
      <c r="R352" s="15" t="n">
        <f aca="false">ROUNDDOWN(1/Q352,0)</f>
        <v>13761</v>
      </c>
      <c r="S352" s="5" t="n">
        <f aca="false">DRIVERS!$B$23*Q352/DRIVERS!$B$24</f>
        <v>0.377207276824434</v>
      </c>
      <c r="T352" s="5" t="n">
        <f aca="false">J352*INDEX(DRIVERS!$C$32:$C$42,MATCH(B352,DRIVERS!$A$32:$A$42,0))</f>
        <v>0</v>
      </c>
      <c r="U352" s="5" t="n">
        <f aca="false">J352*INDEX(SUPPLIERS!$E$3:$E$30,MATCH(C352,SUPPLIERS!$A$3:$A$30,0))</f>
        <v>0</v>
      </c>
      <c r="V352" s="5" t="n">
        <v>0</v>
      </c>
      <c r="W352" s="5" t="n">
        <f aca="false">J352+S352+T352+U352+V352</f>
        <v>3000.37720727682</v>
      </c>
      <c r="X352" s="9" t="n">
        <f aca="false">W352/J352-1</f>
        <v>0.000125735758941481</v>
      </c>
      <c r="Y352" s="6" t="n">
        <f aca="false">INDEX(DRIVERS!$B$32:$B$42,MATCH(B352,DRIVERS!$A$32:$A$42,0))</f>
        <v>0.3</v>
      </c>
      <c r="Z352" s="5" t="n">
        <f aca="false">W352*(1+Y352)</f>
        <v>3900.49036945987</v>
      </c>
      <c r="AA352" s="5" t="n">
        <f aca="false">W352*(1+Y352+DRIVERS!$B$26)*(1+DRIVERS!$B$27)</f>
        <v>4536.57033740256</v>
      </c>
      <c r="AB352" s="2" t="s">
        <v>205</v>
      </c>
      <c r="AC352" s="8"/>
    </row>
    <row r="353" customFormat="false" ht="15" hidden="false" customHeight="false" outlineLevel="0" collapsed="false">
      <c r="A353" s="2" t="s">
        <v>1233</v>
      </c>
      <c r="B353" s="2" t="s">
        <v>1198</v>
      </c>
      <c r="C353" s="2" t="s">
        <v>90</v>
      </c>
      <c r="D353" s="2" t="s">
        <v>1234</v>
      </c>
      <c r="E353" s="2" t="s">
        <v>1235</v>
      </c>
      <c r="F353" s="2" t="s">
        <v>186</v>
      </c>
      <c r="G353" s="2" t="s">
        <v>186</v>
      </c>
      <c r="H353" s="5" t="n">
        <v>3000</v>
      </c>
      <c r="I353" s="6" t="n">
        <f aca="false">INDEX(SUPPLIERS!$D$3:$D$30,MATCH(C353,SUPPLIERS!$A$3:$A$30,0))</f>
        <v>0</v>
      </c>
      <c r="J353" s="5" t="n">
        <f aca="false">H353*(1-I353)</f>
        <v>3000</v>
      </c>
      <c r="M353" s="5" t="str">
        <f aca="false">IF(K353="","",J353/K353)</f>
        <v/>
      </c>
      <c r="N353" s="2" t="n">
        <v>0.5</v>
      </c>
      <c r="O353" s="13" t="n">
        <v>0.00088</v>
      </c>
      <c r="P353" s="2" t="s">
        <v>310</v>
      </c>
      <c r="Q353" s="14" t="n">
        <f aca="false">MAX(N353/DRIVERS!$B$5,O353/DRIVERS!$B$6)</f>
        <v>0.000166666666666667</v>
      </c>
      <c r="R353" s="15" t="n">
        <f aca="false">ROUNDDOWN(1/Q353,0)</f>
        <v>6000</v>
      </c>
      <c r="S353" s="5" t="n">
        <f aca="false">DRIVERS!$B$23*Q353/DRIVERS!$B$24</f>
        <v>0.865154304643197</v>
      </c>
      <c r="T353" s="5" t="n">
        <f aca="false">J353*INDEX(DRIVERS!$C$32:$C$42,MATCH(B353,DRIVERS!$A$32:$A$42,0))</f>
        <v>0</v>
      </c>
      <c r="U353" s="5" t="n">
        <f aca="false">J353*INDEX(SUPPLIERS!$E$3:$E$30,MATCH(C353,SUPPLIERS!$A$3:$A$30,0))</f>
        <v>0</v>
      </c>
      <c r="V353" s="5" t="n">
        <v>0</v>
      </c>
      <c r="W353" s="5" t="n">
        <f aca="false">J353+S353+T353+U353+V353</f>
        <v>3000.86515430464</v>
      </c>
      <c r="X353" s="9" t="n">
        <f aca="false">W353/J353-1</f>
        <v>0.000288384768214245</v>
      </c>
      <c r="Y353" s="6" t="n">
        <f aca="false">INDEX(DRIVERS!$B$32:$B$42,MATCH(B353,DRIVERS!$A$32:$A$42,0))</f>
        <v>0.3</v>
      </c>
      <c r="Z353" s="5" t="n">
        <f aca="false">W353*(1+Y353)</f>
        <v>3901.12470059604</v>
      </c>
      <c r="AA353" s="5" t="n">
        <f aca="false">W353*(1+Y353+DRIVERS!$B$26)*(1+DRIVERS!$B$27)</f>
        <v>4537.30811330862</v>
      </c>
      <c r="AB353" s="2" t="s">
        <v>205</v>
      </c>
      <c r="AC353" s="8"/>
    </row>
    <row r="354" customFormat="false" ht="15" hidden="false" customHeight="false" outlineLevel="0" collapsed="false">
      <c r="A354" s="2" t="s">
        <v>1236</v>
      </c>
      <c r="B354" s="2" t="s">
        <v>1198</v>
      </c>
      <c r="C354" s="2" t="s">
        <v>90</v>
      </c>
      <c r="D354" s="2" t="s">
        <v>1237</v>
      </c>
      <c r="E354" s="2" t="s">
        <v>1235</v>
      </c>
      <c r="F354" s="2" t="s">
        <v>186</v>
      </c>
      <c r="G354" s="2" t="s">
        <v>186</v>
      </c>
      <c r="H354" s="5" t="n">
        <v>5000</v>
      </c>
      <c r="I354" s="6" t="n">
        <f aca="false">INDEX(SUPPLIERS!$D$3:$D$30,MATCH(C354,SUPPLIERS!$A$3:$A$30,0))</f>
        <v>0</v>
      </c>
      <c r="J354" s="5" t="n">
        <f aca="false">H354*(1-I354)</f>
        <v>5000</v>
      </c>
      <c r="M354" s="5" t="str">
        <f aca="false">IF(K354="","",J354/K354)</f>
        <v/>
      </c>
      <c r="N354" s="2" t="n">
        <v>1.09</v>
      </c>
      <c r="O354" s="13" t="n">
        <v>0.00202</v>
      </c>
      <c r="P354" s="2" t="s">
        <v>310</v>
      </c>
      <c r="Q354" s="14" t="n">
        <f aca="false">MAX(N354/DRIVERS!$B$5,O354/DRIVERS!$B$6)</f>
        <v>0.000363333333333333</v>
      </c>
      <c r="R354" s="15" t="n">
        <f aca="false">ROUNDDOWN(1/Q354,0)</f>
        <v>2752</v>
      </c>
      <c r="S354" s="5" t="n">
        <f aca="false">DRIVERS!$B$23*Q354/DRIVERS!$B$24</f>
        <v>1.88603638412217</v>
      </c>
      <c r="T354" s="5" t="n">
        <f aca="false">J354*INDEX(DRIVERS!$C$32:$C$42,MATCH(B354,DRIVERS!$A$32:$A$42,0))</f>
        <v>0</v>
      </c>
      <c r="U354" s="5" t="n">
        <f aca="false">J354*INDEX(SUPPLIERS!$E$3:$E$30,MATCH(C354,SUPPLIERS!$A$3:$A$30,0))</f>
        <v>0</v>
      </c>
      <c r="V354" s="5" t="n">
        <v>0</v>
      </c>
      <c r="W354" s="5" t="n">
        <f aca="false">J354+S354+T354+U354+V354</f>
        <v>5001.88603638412</v>
      </c>
      <c r="X354" s="9" t="n">
        <f aca="false">W354/J354-1</f>
        <v>0.000377207276824443</v>
      </c>
      <c r="Y354" s="6" t="n">
        <f aca="false">INDEX(DRIVERS!$B$32:$B$42,MATCH(B354,DRIVERS!$A$32:$A$42,0))</f>
        <v>0.3</v>
      </c>
      <c r="Z354" s="5" t="n">
        <f aca="false">W354*(1+Y354)</f>
        <v>6502.45184729936</v>
      </c>
      <c r="AA354" s="5" t="n">
        <f aca="false">W354*(1+Y354+DRIVERS!$B$26)*(1+DRIVERS!$B$27)</f>
        <v>7562.85168701279</v>
      </c>
      <c r="AB354" s="2" t="s">
        <v>205</v>
      </c>
      <c r="AC354" s="8"/>
    </row>
    <row r="355" customFormat="false" ht="15" hidden="false" customHeight="false" outlineLevel="0" collapsed="false">
      <c r="A355" s="2" t="s">
        <v>1238</v>
      </c>
      <c r="B355" s="2" t="s">
        <v>1198</v>
      </c>
      <c r="C355" s="2" t="s">
        <v>90</v>
      </c>
      <c r="D355" s="2" t="s">
        <v>1239</v>
      </c>
      <c r="E355" s="2" t="s">
        <v>1240</v>
      </c>
      <c r="F355" s="2" t="s">
        <v>186</v>
      </c>
      <c r="G355" s="2" t="s">
        <v>186</v>
      </c>
      <c r="H355" s="5" t="n">
        <v>10000</v>
      </c>
      <c r="I355" s="6" t="n">
        <f aca="false">INDEX(SUPPLIERS!$D$3:$D$30,MATCH(C355,SUPPLIERS!$A$3:$A$30,0))</f>
        <v>0</v>
      </c>
      <c r="J355" s="5" t="n">
        <f aca="false">H355*(1-I355)</f>
        <v>10000</v>
      </c>
      <c r="M355" s="5" t="str">
        <f aca="false">IF(K355="","",J355/K355)</f>
        <v/>
      </c>
      <c r="N355" s="2" t="n">
        <v>0.7</v>
      </c>
      <c r="O355" s="13" t="n">
        <v>0.00331</v>
      </c>
      <c r="P355" s="2" t="s">
        <v>310</v>
      </c>
      <c r="Q355" s="14" t="n">
        <f aca="false">MAX(N355/DRIVERS!$B$5,O355/DRIVERS!$B$6)</f>
        <v>0.000233333333333333</v>
      </c>
      <c r="R355" s="15" t="n">
        <f aca="false">ROUNDDOWN(1/Q355,0)</f>
        <v>4285</v>
      </c>
      <c r="S355" s="5" t="n">
        <f aca="false">DRIVERS!$B$23*Q355/DRIVERS!$B$24</f>
        <v>1.21121602650048</v>
      </c>
      <c r="T355" s="5" t="n">
        <f aca="false">J355*INDEX(DRIVERS!$C$32:$C$42,MATCH(B355,DRIVERS!$A$32:$A$42,0))</f>
        <v>0</v>
      </c>
      <c r="U355" s="5" t="n">
        <f aca="false">J355*INDEX(SUPPLIERS!$E$3:$E$30,MATCH(C355,SUPPLIERS!$A$3:$A$30,0))</f>
        <v>0</v>
      </c>
      <c r="V355" s="5" t="n">
        <v>0</v>
      </c>
      <c r="W355" s="5" t="n">
        <f aca="false">J355+S355+T355+U355+V355</f>
        <v>10001.2112160265</v>
      </c>
      <c r="X355" s="9" t="n">
        <f aca="false">W355/J355-1</f>
        <v>0.000121121602649987</v>
      </c>
      <c r="Y355" s="6" t="n">
        <f aca="false">INDEX(DRIVERS!$B$32:$B$42,MATCH(B355,DRIVERS!$A$32:$A$42,0))</f>
        <v>0.3</v>
      </c>
      <c r="Z355" s="5" t="n">
        <f aca="false">W355*(1+Y355)</f>
        <v>13001.5745808345</v>
      </c>
      <c r="AA355" s="5" t="n">
        <f aca="false">W355*(1+Y355+DRIVERS!$B$26)*(1+DRIVERS!$B$27)</f>
        <v>15121.8313586321</v>
      </c>
      <c r="AB355" s="2" t="s">
        <v>205</v>
      </c>
      <c r="AC355" s="8"/>
    </row>
    <row r="356" customFormat="false" ht="15" hidden="false" customHeight="false" outlineLevel="0" collapsed="false">
      <c r="A356" s="2" t="s">
        <v>1241</v>
      </c>
      <c r="B356" s="2" t="s">
        <v>1198</v>
      </c>
      <c r="C356" s="2" t="s">
        <v>90</v>
      </c>
      <c r="D356" s="2" t="s">
        <v>1242</v>
      </c>
      <c r="E356" s="2" t="s">
        <v>1235</v>
      </c>
      <c r="F356" s="2" t="s">
        <v>186</v>
      </c>
      <c r="G356" s="2" t="s">
        <v>186</v>
      </c>
      <c r="H356" s="5" t="n">
        <v>10000</v>
      </c>
      <c r="I356" s="6" t="n">
        <f aca="false">INDEX(SUPPLIERS!$D$3:$D$30,MATCH(C356,SUPPLIERS!$A$3:$A$30,0))</f>
        <v>0</v>
      </c>
      <c r="J356" s="5" t="n">
        <f aca="false">H356*(1-I356)</f>
        <v>10000</v>
      </c>
      <c r="M356" s="5" t="str">
        <f aca="false">IF(K356="","",J356/K356)</f>
        <v/>
      </c>
      <c r="N356" s="2" t="n">
        <v>2.72</v>
      </c>
      <c r="O356" s="13" t="n">
        <v>0.00612</v>
      </c>
      <c r="P356" s="2" t="s">
        <v>310</v>
      </c>
      <c r="Q356" s="14" t="n">
        <f aca="false">MAX(N356/DRIVERS!$B$5,O356/DRIVERS!$B$6)</f>
        <v>0.000906666666666667</v>
      </c>
      <c r="R356" s="15" t="n">
        <f aca="false">ROUNDDOWN(1/Q356,0)</f>
        <v>1102</v>
      </c>
      <c r="S356" s="5" t="n">
        <f aca="false">DRIVERS!$B$23*Q356/DRIVERS!$B$24</f>
        <v>4.70643941725899</v>
      </c>
      <c r="T356" s="5" t="n">
        <f aca="false">J356*INDEX(DRIVERS!$C$32:$C$42,MATCH(B356,DRIVERS!$A$32:$A$42,0))</f>
        <v>0</v>
      </c>
      <c r="U356" s="5" t="n">
        <f aca="false">J356*INDEX(SUPPLIERS!$E$3:$E$30,MATCH(C356,SUPPLIERS!$A$3:$A$30,0))</f>
        <v>0</v>
      </c>
      <c r="V356" s="5" t="n">
        <v>0</v>
      </c>
      <c r="W356" s="5" t="n">
        <f aca="false">J356+S356+T356+U356+V356</f>
        <v>10004.7064394173</v>
      </c>
      <c r="X356" s="9" t="n">
        <f aca="false">W356/J356-1</f>
        <v>0.000470643941725912</v>
      </c>
      <c r="Y356" s="6" t="n">
        <f aca="false">INDEX(DRIVERS!$B$32:$B$42,MATCH(B356,DRIVERS!$A$32:$A$42,0))</f>
        <v>0.3</v>
      </c>
      <c r="Z356" s="5" t="n">
        <f aca="false">W356*(1+Y356)</f>
        <v>13006.1183712424</v>
      </c>
      <c r="AA356" s="5" t="n">
        <f aca="false">W356*(1+Y356+DRIVERS!$B$26)*(1+DRIVERS!$B$27)</f>
        <v>15127.1161363989</v>
      </c>
      <c r="AB356" s="2" t="s">
        <v>205</v>
      </c>
      <c r="AC356" s="8"/>
    </row>
    <row r="357" customFormat="false" ht="15" hidden="false" customHeight="false" outlineLevel="0" collapsed="false">
      <c r="A357" s="2" t="s">
        <v>1243</v>
      </c>
      <c r="B357" s="2" t="s">
        <v>1198</v>
      </c>
      <c r="C357" s="2" t="s">
        <v>90</v>
      </c>
      <c r="D357" s="2" t="s">
        <v>1244</v>
      </c>
      <c r="E357" s="2" t="s">
        <v>1235</v>
      </c>
      <c r="F357" s="2" t="s">
        <v>186</v>
      </c>
      <c r="G357" s="2" t="s">
        <v>186</v>
      </c>
      <c r="H357" s="5" t="n">
        <v>12000</v>
      </c>
      <c r="I357" s="6" t="n">
        <f aca="false">INDEX(SUPPLIERS!$D$3:$D$30,MATCH(C357,SUPPLIERS!$A$3:$A$30,0))</f>
        <v>0</v>
      </c>
      <c r="J357" s="5" t="n">
        <f aca="false">H357*(1-I357)</f>
        <v>12000</v>
      </c>
      <c r="M357" s="5" t="str">
        <f aca="false">IF(K357="","",J357/K357)</f>
        <v/>
      </c>
      <c r="N357" s="2" t="n">
        <v>2</v>
      </c>
      <c r="O357" s="13" t="n">
        <v>0.00484</v>
      </c>
      <c r="P357" s="2" t="s">
        <v>310</v>
      </c>
      <c r="Q357" s="14" t="n">
        <f aca="false">MAX(N357/DRIVERS!$B$5,O357/DRIVERS!$B$6)</f>
        <v>0.000666666666666667</v>
      </c>
      <c r="R357" s="15" t="n">
        <f aca="false">ROUNDDOWN(1/Q357,0)</f>
        <v>1500</v>
      </c>
      <c r="S357" s="5" t="n">
        <f aca="false">DRIVERS!$B$23*Q357/DRIVERS!$B$24</f>
        <v>3.46061721857279</v>
      </c>
      <c r="T357" s="5" t="n">
        <f aca="false">J357*INDEX(DRIVERS!$C$32:$C$42,MATCH(B357,DRIVERS!$A$32:$A$42,0))</f>
        <v>0</v>
      </c>
      <c r="U357" s="5" t="n">
        <f aca="false">J357*INDEX(SUPPLIERS!$E$3:$E$30,MATCH(C357,SUPPLIERS!$A$3:$A$30,0))</f>
        <v>0</v>
      </c>
      <c r="V357" s="5" t="n">
        <v>0</v>
      </c>
      <c r="W357" s="5" t="n">
        <f aca="false">J357+S357+T357+U357+V357</f>
        <v>12003.4606172186</v>
      </c>
      <c r="X357" s="9" t="n">
        <f aca="false">W357/J357-1</f>
        <v>0.000288384768214245</v>
      </c>
      <c r="Y357" s="6" t="n">
        <f aca="false">INDEX(DRIVERS!$B$32:$B$42,MATCH(B357,DRIVERS!$A$32:$A$42,0))</f>
        <v>0.3</v>
      </c>
      <c r="Z357" s="5" t="n">
        <f aca="false">W357*(1+Y357)</f>
        <v>15604.4988023841</v>
      </c>
      <c r="AA357" s="5" t="n">
        <f aca="false">W357*(1+Y357+DRIVERS!$B$26)*(1+DRIVERS!$B$27)</f>
        <v>18149.2324532345</v>
      </c>
      <c r="AB357" s="2" t="s">
        <v>205</v>
      </c>
      <c r="AC357" s="8"/>
    </row>
    <row r="358" customFormat="false" ht="15" hidden="false" customHeight="false" outlineLevel="0" collapsed="false">
      <c r="A358" s="2" t="s">
        <v>1245</v>
      </c>
      <c r="B358" s="2" t="s">
        <v>1198</v>
      </c>
      <c r="C358" s="2" t="s">
        <v>90</v>
      </c>
      <c r="D358" s="2" t="s">
        <v>1246</v>
      </c>
      <c r="E358" s="2" t="s">
        <v>1247</v>
      </c>
      <c r="F358" s="2" t="s">
        <v>186</v>
      </c>
      <c r="G358" s="2" t="s">
        <v>186</v>
      </c>
      <c r="H358" s="5" t="n">
        <v>30000</v>
      </c>
      <c r="I358" s="6" t="n">
        <f aca="false">INDEX(SUPPLIERS!$D$3:$D$30,MATCH(C358,SUPPLIERS!$A$3:$A$30,0))</f>
        <v>0</v>
      </c>
      <c r="J358" s="5" t="n">
        <f aca="false">H358*(1-I358)</f>
        <v>30000</v>
      </c>
      <c r="M358" s="5" t="str">
        <f aca="false">IF(K358="","",J358/K358)</f>
        <v/>
      </c>
      <c r="N358" s="2" t="n">
        <v>4.2</v>
      </c>
      <c r="O358" s="13" t="n">
        <v>0.02495</v>
      </c>
      <c r="P358" s="2" t="s">
        <v>310</v>
      </c>
      <c r="Q358" s="14" t="n">
        <f aca="false">MAX(N358/DRIVERS!$B$5,O358/DRIVERS!$B$6)</f>
        <v>0.00174791575182295</v>
      </c>
      <c r="R358" s="15" t="n">
        <f aca="false">ROUNDDOWN(1/Q358,0)</f>
        <v>572</v>
      </c>
      <c r="S358" s="5" t="n">
        <f aca="false">DRIVERS!$B$23*Q358/DRIVERS!$B$24</f>
        <v>9.07330102105962</v>
      </c>
      <c r="T358" s="5" t="n">
        <f aca="false">J358*INDEX(DRIVERS!$C$32:$C$42,MATCH(B358,DRIVERS!$A$32:$A$42,0))</f>
        <v>0</v>
      </c>
      <c r="U358" s="5" t="n">
        <f aca="false">J358*INDEX(SUPPLIERS!$E$3:$E$30,MATCH(C358,SUPPLIERS!$A$3:$A$30,0))</f>
        <v>0</v>
      </c>
      <c r="V358" s="5" t="n">
        <v>0</v>
      </c>
      <c r="W358" s="5" t="n">
        <f aca="false">J358+S358+T358+U358+V358</f>
        <v>30009.0733010211</v>
      </c>
      <c r="X358" s="9" t="n">
        <f aca="false">W358/J358-1</f>
        <v>0.000302443367368621</v>
      </c>
      <c r="Y358" s="6" t="n">
        <f aca="false">INDEX(DRIVERS!$B$32:$B$42,MATCH(B358,DRIVERS!$A$32:$A$42,0))</f>
        <v>0.3</v>
      </c>
      <c r="Z358" s="5" t="n">
        <f aca="false">W358*(1+Y358)</f>
        <v>39011.7952913274</v>
      </c>
      <c r="AA358" s="5" t="n">
        <f aca="false">W358*(1+Y358+DRIVERS!$B$26)*(1+DRIVERS!$B$27)</f>
        <v>45373.7188311439</v>
      </c>
      <c r="AB358" s="2" t="s">
        <v>205</v>
      </c>
      <c r="AC358" s="8"/>
    </row>
    <row r="359" customFormat="false" ht="15" hidden="false" customHeight="false" outlineLevel="0" collapsed="false">
      <c r="A359" s="2" t="s">
        <v>1248</v>
      </c>
      <c r="B359" s="2" t="s">
        <v>1198</v>
      </c>
      <c r="C359" s="2" t="s">
        <v>90</v>
      </c>
      <c r="D359" s="2" t="s">
        <v>1249</v>
      </c>
      <c r="E359" s="2" t="s">
        <v>1250</v>
      </c>
      <c r="F359" s="2" t="s">
        <v>186</v>
      </c>
      <c r="G359" s="2" t="s">
        <v>186</v>
      </c>
      <c r="H359" s="5" t="n">
        <v>30000</v>
      </c>
      <c r="I359" s="6" t="n">
        <f aca="false">INDEX(SUPPLIERS!$D$3:$D$30,MATCH(C359,SUPPLIERS!$A$3:$A$30,0))</f>
        <v>0</v>
      </c>
      <c r="J359" s="5" t="n">
        <f aca="false">H359*(1-I359)</f>
        <v>30000</v>
      </c>
      <c r="M359" s="5" t="str">
        <f aca="false">IF(K359="","",J359/K359)</f>
        <v/>
      </c>
      <c r="N359" s="2" t="n">
        <v>4.5</v>
      </c>
      <c r="O359" s="13" t="n">
        <v>0.01374</v>
      </c>
      <c r="P359" s="2" t="s">
        <v>908</v>
      </c>
      <c r="Q359" s="14" t="n">
        <f aca="false">MAX(N359/DRIVERS!$B$5,O359/DRIVERS!$B$6)</f>
        <v>0.0015</v>
      </c>
      <c r="R359" s="15" t="n">
        <f aca="false">ROUNDDOWN(1/Q359,0)</f>
        <v>666</v>
      </c>
      <c r="S359" s="5" t="n">
        <f aca="false">DRIVERS!$B$23*Q359/DRIVERS!$B$24</f>
        <v>7.78638874178877</v>
      </c>
      <c r="T359" s="5" t="n">
        <f aca="false">J359*INDEX(DRIVERS!$C$32:$C$42,MATCH(B359,DRIVERS!$A$32:$A$42,0))</f>
        <v>0</v>
      </c>
      <c r="U359" s="5" t="n">
        <f aca="false">J359*INDEX(SUPPLIERS!$E$3:$E$30,MATCH(C359,SUPPLIERS!$A$3:$A$30,0))</f>
        <v>0</v>
      </c>
      <c r="V359" s="5" t="n">
        <v>0</v>
      </c>
      <c r="W359" s="5" t="n">
        <f aca="false">J359+S359+T359+U359+V359</f>
        <v>30007.7863887418</v>
      </c>
      <c r="X359" s="9" t="n">
        <f aca="false">W359/J359-1</f>
        <v>0.00025954629139302</v>
      </c>
      <c r="Y359" s="6" t="n">
        <f aca="false">INDEX(DRIVERS!$B$32:$B$42,MATCH(B359,DRIVERS!$A$32:$A$42,0))</f>
        <v>0.3</v>
      </c>
      <c r="Z359" s="5" t="n">
        <f aca="false">W359*(1+Y359)</f>
        <v>39010.1223053643</v>
      </c>
      <c r="AA359" s="5" t="n">
        <f aca="false">W359*(1+Y359+DRIVERS!$B$26)*(1+DRIVERS!$B$27)</f>
        <v>45371.7730197776</v>
      </c>
      <c r="AB359" s="2" t="s">
        <v>205</v>
      </c>
      <c r="AC359" s="8"/>
    </row>
    <row r="360" customFormat="false" ht="15" hidden="false" customHeight="false" outlineLevel="0" collapsed="false">
      <c r="A360" s="2" t="s">
        <v>1251</v>
      </c>
      <c r="B360" s="2" t="s">
        <v>1198</v>
      </c>
      <c r="C360" s="2" t="s">
        <v>92</v>
      </c>
      <c r="D360" s="2" t="s">
        <v>1252</v>
      </c>
      <c r="F360" s="2" t="s">
        <v>186</v>
      </c>
      <c r="G360" s="2" t="s">
        <v>186</v>
      </c>
      <c r="H360" s="5" t="n">
        <v>1500</v>
      </c>
      <c r="I360" s="6" t="n">
        <f aca="false">INDEX(SUPPLIERS!$D$3:$D$30,MATCH(C360,SUPPLIERS!$A$3:$A$30,0))</f>
        <v>0</v>
      </c>
      <c r="J360" s="5" t="n">
        <f aca="false">H360*(1-I360)</f>
        <v>1500</v>
      </c>
      <c r="M360" s="5" t="str">
        <f aca="false">IF(K360="","",J360/K360)</f>
        <v/>
      </c>
      <c r="N360" s="2" t="n">
        <v>1.4</v>
      </c>
      <c r="O360" s="13" t="n">
        <v>0.0168</v>
      </c>
      <c r="P360" s="2" t="s">
        <v>310</v>
      </c>
      <c r="Q360" s="14" t="n">
        <f aca="false">MAX(N360/DRIVERS!$B$5,O360/DRIVERS!$B$6)</f>
        <v>0.00117695329180864</v>
      </c>
      <c r="R360" s="15" t="n">
        <f aca="false">ROUNDDOWN(1/Q360,0)</f>
        <v>849</v>
      </c>
      <c r="S360" s="5" t="n">
        <f aca="false">DRIVERS!$B$23*Q360/DRIVERS!$B$24</f>
        <v>6.10947724063333</v>
      </c>
      <c r="T360" s="5" t="n">
        <f aca="false">J360*INDEX(DRIVERS!$C$32:$C$42,MATCH(B360,DRIVERS!$A$32:$A$42,0))</f>
        <v>0</v>
      </c>
      <c r="U360" s="5" t="n">
        <f aca="false">J360*INDEX(SUPPLIERS!$E$3:$E$30,MATCH(C360,SUPPLIERS!$A$3:$A$30,0))</f>
        <v>0</v>
      </c>
      <c r="V360" s="5" t="n">
        <v>0</v>
      </c>
      <c r="W360" s="5" t="n">
        <f aca="false">J360+S360+T360+U360+V360</f>
        <v>1506.10947724063</v>
      </c>
      <c r="X360" s="9" t="n">
        <f aca="false">W360/J360-1</f>
        <v>0.00407298482708884</v>
      </c>
      <c r="Y360" s="6" t="n">
        <f aca="false">INDEX(DRIVERS!$B$32:$B$42,MATCH(B360,DRIVERS!$A$32:$A$42,0))</f>
        <v>0.3</v>
      </c>
      <c r="Z360" s="5" t="n">
        <f aca="false">W360*(1+Y360)</f>
        <v>1957.94232041282</v>
      </c>
      <c r="AA360" s="5" t="n">
        <f aca="false">W360*(1+Y360+DRIVERS!$B$26)*(1+DRIVERS!$B$27)</f>
        <v>2277.23752958784</v>
      </c>
      <c r="AB360" s="2" t="s">
        <v>218</v>
      </c>
      <c r="AC360" s="8"/>
    </row>
    <row r="361" customFormat="false" ht="15" hidden="false" customHeight="false" outlineLevel="0" collapsed="false">
      <c r="A361" s="2" t="s">
        <v>1253</v>
      </c>
      <c r="B361" s="2" t="s">
        <v>1198</v>
      </c>
      <c r="C361" s="2" t="s">
        <v>92</v>
      </c>
      <c r="D361" s="2" t="s">
        <v>1254</v>
      </c>
      <c r="E361" s="2" t="s">
        <v>1255</v>
      </c>
      <c r="F361" s="2" t="s">
        <v>186</v>
      </c>
      <c r="G361" s="2" t="s">
        <v>186</v>
      </c>
      <c r="H361" s="5" t="n">
        <v>6000</v>
      </c>
      <c r="I361" s="6" t="n">
        <f aca="false">INDEX(SUPPLIERS!$D$3:$D$30,MATCH(C361,SUPPLIERS!$A$3:$A$30,0))</f>
        <v>0</v>
      </c>
      <c r="J361" s="5" t="n">
        <f aca="false">H361*(1-I361)</f>
        <v>6000</v>
      </c>
      <c r="M361" s="5" t="str">
        <f aca="false">IF(K361="","",J361/K361)</f>
        <v/>
      </c>
      <c r="N361" s="2" t="n">
        <v>0.55</v>
      </c>
      <c r="O361" s="13" t="n">
        <v>0.00094</v>
      </c>
      <c r="P361" s="2" t="s">
        <v>310</v>
      </c>
      <c r="Q361" s="14" t="n">
        <f aca="false">MAX(N361/DRIVERS!$B$5,O361/DRIVERS!$B$6)</f>
        <v>0.000183333333333333</v>
      </c>
      <c r="R361" s="15" t="n">
        <f aca="false">ROUNDDOWN(1/Q361,0)</f>
        <v>5454</v>
      </c>
      <c r="S361" s="5" t="n">
        <f aca="false">DRIVERS!$B$23*Q361/DRIVERS!$B$24</f>
        <v>0.951669735107516</v>
      </c>
      <c r="T361" s="5" t="n">
        <f aca="false">J361*INDEX(DRIVERS!$C$32:$C$42,MATCH(B361,DRIVERS!$A$32:$A$42,0))</f>
        <v>0</v>
      </c>
      <c r="U361" s="5" t="n">
        <f aca="false">J361*INDEX(SUPPLIERS!$E$3:$E$30,MATCH(C361,SUPPLIERS!$A$3:$A$30,0))</f>
        <v>0</v>
      </c>
      <c r="V361" s="5" t="n">
        <v>0</v>
      </c>
      <c r="W361" s="5" t="n">
        <f aca="false">J361+S361+T361+U361+V361</f>
        <v>6000.95166973511</v>
      </c>
      <c r="X361" s="9" t="n">
        <f aca="false">W361/J361-1</f>
        <v>0.000158611622517846</v>
      </c>
      <c r="Y361" s="6" t="n">
        <f aca="false">INDEX(DRIVERS!$B$32:$B$42,MATCH(B361,DRIVERS!$A$32:$A$42,0))</f>
        <v>0.3</v>
      </c>
      <c r="Z361" s="5" t="n">
        <f aca="false">W361*(1+Y361)</f>
        <v>7801.23717065564</v>
      </c>
      <c r="AA361" s="5" t="n">
        <f aca="false">W361*(1+Y361+DRIVERS!$B$26)*(1+DRIVERS!$B$27)</f>
        <v>9073.43892463948</v>
      </c>
      <c r="AB361" s="2" t="s">
        <v>218</v>
      </c>
      <c r="AC361" s="8"/>
    </row>
    <row r="362" customFormat="false" ht="15" hidden="false" customHeight="false" outlineLevel="0" collapsed="false">
      <c r="A362" s="2" t="s">
        <v>1256</v>
      </c>
      <c r="B362" s="2" t="s">
        <v>1198</v>
      </c>
      <c r="C362" s="2" t="s">
        <v>92</v>
      </c>
      <c r="D362" s="2" t="s">
        <v>1257</v>
      </c>
      <c r="E362" s="2" t="s">
        <v>1258</v>
      </c>
      <c r="F362" s="2" t="s">
        <v>186</v>
      </c>
      <c r="G362" s="2" t="s">
        <v>186</v>
      </c>
      <c r="H362" s="5" t="n">
        <v>12000</v>
      </c>
      <c r="I362" s="6" t="n">
        <f aca="false">INDEX(SUPPLIERS!$D$3:$D$30,MATCH(C362,SUPPLIERS!$A$3:$A$30,0))</f>
        <v>0</v>
      </c>
      <c r="J362" s="5" t="n">
        <f aca="false">H362*(1-I362)</f>
        <v>12000</v>
      </c>
      <c r="M362" s="5" t="str">
        <f aca="false">IF(K362="","",J362/K362)</f>
        <v/>
      </c>
      <c r="N362" s="2" t="n">
        <v>1.6</v>
      </c>
      <c r="O362" s="13" t="n">
        <v>0.00432</v>
      </c>
      <c r="P362" s="2" t="s">
        <v>310</v>
      </c>
      <c r="Q362" s="14" t="n">
        <f aca="false">MAX(N362/DRIVERS!$B$5,O362/DRIVERS!$B$6)</f>
        <v>0.000533333333333333</v>
      </c>
      <c r="R362" s="15" t="n">
        <f aca="false">ROUNDDOWN(1/Q362,0)</f>
        <v>1875</v>
      </c>
      <c r="S362" s="5" t="n">
        <f aca="false">DRIVERS!$B$23*Q362/DRIVERS!$B$24</f>
        <v>2.76849377485823</v>
      </c>
      <c r="T362" s="5" t="n">
        <f aca="false">J362*INDEX(DRIVERS!$C$32:$C$42,MATCH(B362,DRIVERS!$A$32:$A$42,0))</f>
        <v>0</v>
      </c>
      <c r="U362" s="5" t="n">
        <f aca="false">J362*INDEX(SUPPLIERS!$E$3:$E$30,MATCH(C362,SUPPLIERS!$A$3:$A$30,0))</f>
        <v>0</v>
      </c>
      <c r="V362" s="5" t="n">
        <v>0</v>
      </c>
      <c r="W362" s="5" t="n">
        <f aca="false">J362+S362+T362+U362+V362</f>
        <v>12002.7684937749</v>
      </c>
      <c r="X362" s="9" t="n">
        <f aca="false">W362/J362-1</f>
        <v>0.000230707814571574</v>
      </c>
      <c r="Y362" s="6" t="n">
        <f aca="false">INDEX(DRIVERS!$B$32:$B$42,MATCH(B362,DRIVERS!$A$32:$A$42,0))</f>
        <v>0.3</v>
      </c>
      <c r="Z362" s="5" t="n">
        <f aca="false">W362*(1+Y362)</f>
        <v>15603.5990419073</v>
      </c>
      <c r="AA362" s="5" t="n">
        <f aca="false">W362*(1+Y362+DRIVERS!$B$26)*(1+DRIVERS!$B$27)</f>
        <v>18148.1859625876</v>
      </c>
      <c r="AB362" s="2" t="s">
        <v>218</v>
      </c>
      <c r="AC362" s="8"/>
    </row>
    <row r="363" customFormat="false" ht="15" hidden="false" customHeight="false" outlineLevel="0" collapsed="false">
      <c r="A363" s="2" t="s">
        <v>1259</v>
      </c>
      <c r="B363" s="2" t="s">
        <v>1198</v>
      </c>
      <c r="C363" s="2" t="s">
        <v>92</v>
      </c>
      <c r="D363" s="2" t="s">
        <v>1260</v>
      </c>
      <c r="E363" s="2" t="s">
        <v>1261</v>
      </c>
      <c r="F363" s="2" t="s">
        <v>186</v>
      </c>
      <c r="G363" s="2" t="s">
        <v>186</v>
      </c>
      <c r="H363" s="5" t="n">
        <v>15000</v>
      </c>
      <c r="I363" s="6" t="n">
        <f aca="false">INDEX(SUPPLIERS!$D$3:$D$30,MATCH(C363,SUPPLIERS!$A$3:$A$30,0))</f>
        <v>0</v>
      </c>
      <c r="J363" s="5" t="n">
        <f aca="false">H363*(1-I363)</f>
        <v>15000</v>
      </c>
      <c r="M363" s="5" t="str">
        <f aca="false">IF(K363="","",J363/K363)</f>
        <v/>
      </c>
      <c r="N363" s="2" t="n">
        <v>1.95</v>
      </c>
      <c r="O363" s="13" t="n">
        <v>0.00562</v>
      </c>
      <c r="P363" s="2" t="s">
        <v>310</v>
      </c>
      <c r="Q363" s="14" t="n">
        <f aca="false">MAX(N363/DRIVERS!$B$5,O363/DRIVERS!$B$6)</f>
        <v>0.00065</v>
      </c>
      <c r="R363" s="15" t="n">
        <f aca="false">ROUNDDOWN(1/Q363,0)</f>
        <v>1538</v>
      </c>
      <c r="S363" s="5" t="n">
        <f aca="false">DRIVERS!$B$23*Q363/DRIVERS!$B$24</f>
        <v>3.37410178810847</v>
      </c>
      <c r="T363" s="5" t="n">
        <f aca="false">J363*INDEX(DRIVERS!$C$32:$C$42,MATCH(B363,DRIVERS!$A$32:$A$42,0))</f>
        <v>0</v>
      </c>
      <c r="U363" s="5" t="n">
        <f aca="false">J363*INDEX(SUPPLIERS!$E$3:$E$30,MATCH(C363,SUPPLIERS!$A$3:$A$30,0))</f>
        <v>0</v>
      </c>
      <c r="V363" s="5" t="n">
        <v>0</v>
      </c>
      <c r="W363" s="5" t="n">
        <f aca="false">J363+S363+T363+U363+V363</f>
        <v>15003.3741017881</v>
      </c>
      <c r="X363" s="9" t="n">
        <f aca="false">W363/J363-1</f>
        <v>0.000224940119207373</v>
      </c>
      <c r="Y363" s="6" t="n">
        <f aca="false">INDEX(DRIVERS!$B$32:$B$42,MATCH(B363,DRIVERS!$A$32:$A$42,0))</f>
        <v>0.3</v>
      </c>
      <c r="Z363" s="5" t="n">
        <f aca="false">W363*(1+Y363)</f>
        <v>19504.3863323245</v>
      </c>
      <c r="AA363" s="5" t="n">
        <f aca="false">W363*(1+Y363+DRIVERS!$B$26)*(1+DRIVERS!$B$27)</f>
        <v>22685.1016419036</v>
      </c>
      <c r="AB363" s="2" t="s">
        <v>218</v>
      </c>
      <c r="AC363" s="8"/>
    </row>
    <row r="364" customFormat="false" ht="15" hidden="false" customHeight="false" outlineLevel="0" collapsed="false">
      <c r="A364" s="2" t="s">
        <v>1262</v>
      </c>
      <c r="B364" s="2" t="s">
        <v>1198</v>
      </c>
      <c r="C364" s="2" t="s">
        <v>92</v>
      </c>
      <c r="D364" s="2" t="s">
        <v>1263</v>
      </c>
      <c r="E364" s="2" t="s">
        <v>1264</v>
      </c>
      <c r="F364" s="2" t="s">
        <v>186</v>
      </c>
      <c r="G364" s="2" t="s">
        <v>186</v>
      </c>
      <c r="H364" s="5" t="n">
        <v>21000</v>
      </c>
      <c r="I364" s="6" t="n">
        <f aca="false">INDEX(SUPPLIERS!$D$3:$D$30,MATCH(C364,SUPPLIERS!$A$3:$A$30,0))</f>
        <v>0</v>
      </c>
      <c r="J364" s="5" t="n">
        <f aca="false">H364*(1-I364)</f>
        <v>21000</v>
      </c>
      <c r="M364" s="5" t="str">
        <f aca="false">IF(K364="","",J364/K364)</f>
        <v/>
      </c>
      <c r="N364" s="2" t="n">
        <v>3.5</v>
      </c>
      <c r="O364" s="13" t="n">
        <v>0.01382</v>
      </c>
      <c r="P364" s="2" t="s">
        <v>310</v>
      </c>
      <c r="Q364" s="14" t="n">
        <f aca="false">MAX(N364/DRIVERS!$B$5,O364/DRIVERS!$B$6)</f>
        <v>0.00116666666666667</v>
      </c>
      <c r="R364" s="15" t="n">
        <f aca="false">ROUNDDOWN(1/Q364,0)</f>
        <v>857</v>
      </c>
      <c r="S364" s="5" t="n">
        <f aca="false">DRIVERS!$B$23*Q364/DRIVERS!$B$24</f>
        <v>6.05608013250238</v>
      </c>
      <c r="T364" s="5" t="n">
        <f aca="false">J364*INDEX(DRIVERS!$C$32:$C$42,MATCH(B364,DRIVERS!$A$32:$A$42,0))</f>
        <v>0</v>
      </c>
      <c r="U364" s="5" t="n">
        <f aca="false">J364*INDEX(SUPPLIERS!$E$3:$E$30,MATCH(C364,SUPPLIERS!$A$3:$A$30,0))</f>
        <v>0</v>
      </c>
      <c r="V364" s="5" t="n">
        <v>0</v>
      </c>
      <c r="W364" s="5" t="n">
        <f aca="false">J364+S364+T364+U364+V364</f>
        <v>21006.0560801325</v>
      </c>
      <c r="X364" s="9" t="n">
        <f aca="false">W364/J364-1</f>
        <v>0.000288384768214245</v>
      </c>
      <c r="Y364" s="6" t="n">
        <f aca="false">INDEX(DRIVERS!$B$32:$B$42,MATCH(B364,DRIVERS!$A$32:$A$42,0))</f>
        <v>0.3</v>
      </c>
      <c r="Z364" s="5" t="n">
        <f aca="false">W364*(1+Y364)</f>
        <v>27307.8729041723</v>
      </c>
      <c r="AA364" s="5" t="n">
        <f aca="false">W364*(1+Y364+DRIVERS!$B$26)*(1+DRIVERS!$B$27)</f>
        <v>31761.1567931603</v>
      </c>
      <c r="AB364" s="2" t="s">
        <v>218</v>
      </c>
      <c r="AC364" s="8"/>
    </row>
    <row r="365" customFormat="false" ht="15" hidden="false" customHeight="false" outlineLevel="0" collapsed="false">
      <c r="A365" s="2" t="s">
        <v>79</v>
      </c>
      <c r="B365" s="2" t="s">
        <v>1265</v>
      </c>
      <c r="C365" s="2" t="s">
        <v>90</v>
      </c>
      <c r="D365" s="2" t="s">
        <v>1266</v>
      </c>
      <c r="F365" s="2" t="s">
        <v>186</v>
      </c>
      <c r="G365" s="2" t="s">
        <v>186</v>
      </c>
      <c r="H365" s="5" t="n">
        <v>300</v>
      </c>
      <c r="I365" s="6" t="n">
        <f aca="false">INDEX(SUPPLIERS!$D$3:$D$30,MATCH(C365,SUPPLIERS!$A$3:$A$30,0))</f>
        <v>0</v>
      </c>
      <c r="J365" s="5" t="n">
        <f aca="false">H365*(1-I365)</f>
        <v>300</v>
      </c>
      <c r="M365" s="5" t="str">
        <f aca="false">IF(K365="","",J365/K365)</f>
        <v/>
      </c>
      <c r="N365" s="2" t="n">
        <v>0.35</v>
      </c>
      <c r="O365" s="13" t="n">
        <v>0.0004</v>
      </c>
      <c r="P365" s="2" t="s">
        <v>1267</v>
      </c>
      <c r="Q365" s="14" t="n">
        <f aca="false">MAX(N365/DRIVERS!$B$5,O365/DRIVERS!$B$6)</f>
        <v>0.000116666666666667</v>
      </c>
      <c r="R365" s="15" t="n">
        <f aca="false">ROUNDDOWN(1/Q365,0)</f>
        <v>8571</v>
      </c>
      <c r="S365" s="5" t="n">
        <f aca="false">DRIVERS!$B$23*Q365/DRIVERS!$B$24</f>
        <v>0.605608013250238</v>
      </c>
      <c r="T365" s="5" t="n">
        <f aca="false">J365*INDEX(DRIVERS!$C$32:$C$42,MATCH(B365,DRIVERS!$A$32:$A$42,0))</f>
        <v>30</v>
      </c>
      <c r="U365" s="5" t="n">
        <f aca="false">J365*INDEX(SUPPLIERS!$E$3:$E$30,MATCH(C365,SUPPLIERS!$A$3:$A$30,0))</f>
        <v>0</v>
      </c>
      <c r="V365" s="5" t="n">
        <v>0</v>
      </c>
      <c r="W365" s="5" t="n">
        <f aca="false">J365+S365+T365+U365+V365</f>
        <v>330.60560801325</v>
      </c>
      <c r="X365" s="9" t="n">
        <f aca="false">W365/J365-1</f>
        <v>0.102018693377501</v>
      </c>
      <c r="Y365" s="6" t="n">
        <f aca="false">INDEX(DRIVERS!$B$32:$B$42,MATCH(B365,DRIVERS!$A$32:$A$42,0))</f>
        <v>0.3</v>
      </c>
      <c r="Z365" s="5" t="n">
        <f aca="false">W365*(1+Y365)</f>
        <v>429.787290417225</v>
      </c>
      <c r="AA365" s="5" t="n">
        <f aca="false">W365*(1+Y365+DRIVERS!$B$26)*(1+DRIVERS!$B$27)</f>
        <v>499.875679316034</v>
      </c>
      <c r="AB365" s="2" t="s">
        <v>205</v>
      </c>
      <c r="AC365" s="8"/>
    </row>
  </sheetData>
  <autoFilter ref="A3:AD365"/>
  <dataValidations count="2">
    <dataValidation allowBlank="false" errorStyle="stop" operator="between" showDropDown="false" showErrorMessage="false" showInputMessage="false" sqref="B4:B465" type="list">
      <formula1>DRIVERS!$A$32:$A$42</formula1>
      <formula2>0</formula2>
    </dataValidation>
    <dataValidation allowBlank="false" errorStyle="stop" operator="between" showDropDown="false" showErrorMessage="false" showInputMessage="false" sqref="C4:C465" type="list">
      <formula1>SUPPLIERS!$A$3:$A$30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1268</v>
      </c>
    </row>
    <row r="2" customFormat="false" ht="15" hidden="false" customHeight="false" outlineLevel="0" collapsed="false">
      <c r="A2" s="2" t="s">
        <v>1269</v>
      </c>
    </row>
    <row r="3" customFormat="false" ht="15" hidden="false" customHeight="false" outlineLevel="0" collapsed="false">
      <c r="A3" s="2"/>
    </row>
    <row r="4" customFormat="false" ht="15" hidden="false" customHeight="false" outlineLevel="0" collapsed="false">
      <c r="A4" s="1" t="s">
        <v>1270</v>
      </c>
    </row>
    <row r="5" customFormat="false" ht="15" hidden="false" customHeight="false" outlineLevel="0" collapsed="false">
      <c r="A5" s="2" t="s">
        <v>1271</v>
      </c>
    </row>
    <row r="6" customFormat="false" ht="15" hidden="false" customHeight="false" outlineLevel="0" collapsed="false">
      <c r="A6" s="2" t="s">
        <v>1272</v>
      </c>
    </row>
    <row r="7" customFormat="false" ht="15" hidden="false" customHeight="false" outlineLevel="0" collapsed="false">
      <c r="A7" s="2" t="s">
        <v>1273</v>
      </c>
    </row>
    <row r="8" customFormat="false" ht="15" hidden="false" customHeight="false" outlineLevel="0" collapsed="false">
      <c r="A8" s="2" t="s">
        <v>1274</v>
      </c>
    </row>
    <row r="9" customFormat="false" ht="15" hidden="false" customHeight="false" outlineLevel="0" collapsed="false">
      <c r="A9" s="2" t="s">
        <v>1275</v>
      </c>
    </row>
    <row r="10" customFormat="false" ht="15" hidden="false" customHeight="false" outlineLevel="0" collapsed="false">
      <c r="A10" s="2" t="s">
        <v>1276</v>
      </c>
    </row>
    <row r="11" customFormat="false" ht="15" hidden="false" customHeight="false" outlineLevel="0" collapsed="false">
      <c r="A11" s="2"/>
    </row>
    <row r="12" customFormat="false" ht="15" hidden="false" customHeight="false" outlineLevel="0" collapsed="false">
      <c r="A12" s="1" t="s">
        <v>1277</v>
      </c>
    </row>
    <row r="13" customFormat="false" ht="15" hidden="false" customHeight="false" outlineLevel="0" collapsed="false">
      <c r="A13" s="2" t="s">
        <v>1278</v>
      </c>
    </row>
    <row r="14" customFormat="false" ht="15" hidden="false" customHeight="false" outlineLevel="0" collapsed="false">
      <c r="A14" s="2" t="s">
        <v>1279</v>
      </c>
    </row>
    <row r="15" customFormat="false" ht="15" hidden="false" customHeight="false" outlineLevel="0" collapsed="false">
      <c r="A15" s="2" t="s">
        <v>1280</v>
      </c>
    </row>
    <row r="16" customFormat="false" ht="15" hidden="false" customHeight="false" outlineLevel="0" collapsed="false">
      <c r="A16" s="2" t="s">
        <v>1281</v>
      </c>
    </row>
    <row r="17" customFormat="false" ht="15" hidden="false" customHeight="false" outlineLevel="0" collapsed="false">
      <c r="A17" s="2" t="s">
        <v>1282</v>
      </c>
    </row>
    <row r="18" customFormat="false" ht="15" hidden="false" customHeight="false" outlineLevel="0" collapsed="false">
      <c r="A18" s="2" t="s">
        <v>1283</v>
      </c>
    </row>
    <row r="19" customFormat="false" ht="15" hidden="false" customHeight="false" outlineLevel="0" collapsed="false">
      <c r="A19" s="2" t="s">
        <v>1284</v>
      </c>
    </row>
    <row r="20" customFormat="false" ht="15" hidden="false" customHeight="false" outlineLevel="0" collapsed="false">
      <c r="A20" s="2"/>
    </row>
    <row r="21" customFormat="false" ht="15" hidden="false" customHeight="false" outlineLevel="0" collapsed="false">
      <c r="A21" s="1" t="s">
        <v>1285</v>
      </c>
    </row>
    <row r="22" customFormat="false" ht="15" hidden="false" customHeight="false" outlineLevel="0" collapsed="false">
      <c r="A22" s="2" t="s">
        <v>1286</v>
      </c>
    </row>
    <row r="23" customFormat="false" ht="15" hidden="false" customHeight="false" outlineLevel="0" collapsed="false">
      <c r="A23" s="2"/>
    </row>
    <row r="24" customFormat="false" ht="15" hidden="false" customHeight="false" outlineLevel="0" collapsed="false">
      <c r="A24" s="1" t="s">
        <v>1287</v>
      </c>
    </row>
    <row r="25" customFormat="false" ht="15" hidden="false" customHeight="false" outlineLevel="0" collapsed="false">
      <c r="A25" s="2" t="s">
        <v>1288</v>
      </c>
    </row>
    <row r="26" customFormat="false" ht="15" hidden="false" customHeight="false" outlineLevel="0" collapsed="false">
      <c r="A26" s="2" t="s">
        <v>1289</v>
      </c>
    </row>
    <row r="27" customFormat="false" ht="15" hidden="false" customHeight="false" outlineLevel="0" collapsed="false">
      <c r="A27" s="2"/>
    </row>
    <row r="28" customFormat="false" ht="15" hidden="false" customHeight="false" outlineLevel="0" collapsed="false">
      <c r="A28" s="1" t="s">
        <v>1290</v>
      </c>
    </row>
    <row r="29" customFormat="false" ht="15" hidden="false" customHeight="false" outlineLevel="0" collapsed="false">
      <c r="A29" s="2" t="s">
        <v>1291</v>
      </c>
    </row>
    <row r="30" customFormat="false" ht="15" hidden="false" customHeight="false" outlineLevel="0" collapsed="false">
      <c r="A30" s="2" t="s">
        <v>1292</v>
      </c>
    </row>
    <row r="31" customFormat="false" ht="15" hidden="false" customHeight="false" outlineLevel="0" collapsed="false">
      <c r="A31" s="2" t="s">
        <v>1293</v>
      </c>
    </row>
    <row r="32" customFormat="false" ht="15" hidden="false" customHeight="false" outlineLevel="0" collapsed="false">
      <c r="A32" s="2" t="s">
        <v>1294</v>
      </c>
    </row>
    <row r="33" customFormat="false" ht="15" hidden="false" customHeight="false" outlineLevel="0" collapsed="false">
      <c r="A33" s="2" t="s">
        <v>1295</v>
      </c>
    </row>
    <row r="34" customFormat="false" ht="15" hidden="false" customHeight="false" outlineLevel="0" collapsed="false">
      <c r="A34" s="2" t="s">
        <v>1296</v>
      </c>
    </row>
    <row r="35" customFormat="false" ht="15" hidden="false" customHeight="false" outlineLevel="0" collapsed="false">
      <c r="A35" s="2" t="s">
        <v>1297</v>
      </c>
    </row>
    <row r="36" customFormat="false" ht="15" hidden="false" customHeight="false" outlineLevel="0" collapsed="false">
      <c r="A36" s="2" t="s">
        <v>1298</v>
      </c>
    </row>
    <row r="37" customFormat="false" ht="15" hidden="false" customHeight="false" outlineLevel="0" collapsed="false">
      <c r="A37" s="2" t="s">
        <v>1299</v>
      </c>
    </row>
    <row r="38" customFormat="false" ht="15" hidden="false" customHeight="false" outlineLevel="0" collapsed="false">
      <c r="A38" s="2"/>
    </row>
    <row r="39" customFormat="false" ht="15" hidden="false" customHeight="false" outlineLevel="0" collapsed="false">
      <c r="A39" s="1" t="s">
        <v>1300</v>
      </c>
    </row>
    <row r="40" customFormat="false" ht="15" hidden="false" customHeight="false" outlineLevel="0" collapsed="false">
      <c r="A40" s="2" t="s">
        <v>1301</v>
      </c>
    </row>
    <row r="41" customFormat="false" ht="15" hidden="false" customHeight="false" outlineLevel="0" collapsed="false">
      <c r="A41" s="2" t="s">
        <v>1302</v>
      </c>
    </row>
    <row r="42" customFormat="false" ht="15" hidden="false" customHeight="false" outlineLevel="0" collapsed="false">
      <c r="A42" s="2" t="s">
        <v>1303</v>
      </c>
    </row>
    <row r="43" customFormat="false" ht="15" hidden="false" customHeight="false" outlineLevel="0" collapsed="false">
      <c r="A43" s="2" t="s">
        <v>1304</v>
      </c>
    </row>
    <row r="44" customFormat="false" ht="15" hidden="false" customHeight="false" outlineLevel="0" collapsed="false">
      <c r="A44" s="2" t="s">
        <v>1305</v>
      </c>
    </row>
    <row r="45" customFormat="false" ht="15" hidden="false" customHeight="false" outlineLevel="0" collapsed="false">
      <c r="A45" s="2" t="s">
        <v>1306</v>
      </c>
    </row>
    <row r="46" customFormat="false" ht="15" hidden="false" customHeight="false" outlineLevel="0" collapsed="false">
      <c r="A46" s="2"/>
    </row>
    <row r="47" customFormat="false" ht="15" hidden="false" customHeight="false" outlineLevel="0" collapsed="false">
      <c r="A47" s="1" t="s">
        <v>1307</v>
      </c>
    </row>
    <row r="48" customFormat="false" ht="15" hidden="false" customHeight="false" outlineLevel="0" collapsed="false">
      <c r="A48" s="2" t="s">
        <v>1308</v>
      </c>
    </row>
    <row r="49" customFormat="false" ht="15" hidden="false" customHeight="false" outlineLevel="0" collapsed="false">
      <c r="A49" s="2" t="s">
        <v>1309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12"/>
    <col collapsed="false" customWidth="true" hidden="false" outlineLevel="0" max="4" min="4" style="0" width="90"/>
  </cols>
  <sheetData>
    <row r="1" customFormat="false" ht="15" hidden="false" customHeight="false" outlineLevel="0" collapsed="false">
      <c r="A1" s="1" t="s">
        <v>1310</v>
      </c>
    </row>
    <row r="2" customFormat="false" ht="15" hidden="false" customHeight="false" outlineLevel="0" collapsed="false">
      <c r="A2" s="1" t="s">
        <v>39</v>
      </c>
      <c r="B2" s="1" t="s">
        <v>1311</v>
      </c>
      <c r="C2" s="1" t="s">
        <v>42</v>
      </c>
      <c r="D2" s="1" t="s">
        <v>1312</v>
      </c>
    </row>
    <row r="3" customFormat="false" ht="15" hidden="false" customHeight="false" outlineLevel="0" collapsed="false">
      <c r="A3" s="1" t="s">
        <v>1313</v>
      </c>
    </row>
    <row r="4" customFormat="false" ht="15" hidden="false" customHeight="false" outlineLevel="0" collapsed="false">
      <c r="A4" s="2" t="s">
        <v>1314</v>
      </c>
      <c r="B4" s="2" t="s">
        <v>1315</v>
      </c>
      <c r="C4" s="2"/>
      <c r="D4" s="2" t="s">
        <v>1316</v>
      </c>
    </row>
    <row r="5" customFormat="false" ht="15" hidden="false" customHeight="false" outlineLevel="0" collapsed="false">
      <c r="A5" s="2" t="s">
        <v>1317</v>
      </c>
      <c r="B5" s="2" t="n">
        <v>3000</v>
      </c>
      <c r="C5" s="2" t="s">
        <v>1318</v>
      </c>
      <c r="D5" s="2" t="s">
        <v>1319</v>
      </c>
    </row>
    <row r="6" customFormat="false" ht="15" hidden="false" customHeight="false" outlineLevel="0" collapsed="false">
      <c r="A6" s="2" t="s">
        <v>1320</v>
      </c>
      <c r="B6" s="12" t="n">
        <f aca="false">4.267*1.829*1.829</f>
        <v>14.274143347</v>
      </c>
      <c r="C6" s="2" t="s">
        <v>1321</v>
      </c>
      <c r="D6" s="2" t="s">
        <v>1322</v>
      </c>
    </row>
    <row r="7" customFormat="false" ht="15" hidden="false" customHeight="false" outlineLevel="0" collapsed="false">
      <c r="A7" s="2" t="s">
        <v>1323</v>
      </c>
      <c r="B7" s="5" t="n">
        <v>8500</v>
      </c>
      <c r="C7" s="2" t="s">
        <v>1324</v>
      </c>
      <c r="D7" s="2" t="s">
        <v>1325</v>
      </c>
    </row>
    <row r="8" customFormat="false" ht="15" hidden="false" customHeight="false" outlineLevel="0" collapsed="false">
      <c r="A8" s="2" t="s">
        <v>1326</v>
      </c>
      <c r="B8" s="5" t="n">
        <v>1500</v>
      </c>
      <c r="C8" s="2" t="s">
        <v>1324</v>
      </c>
      <c r="D8" s="2" t="s">
        <v>1319</v>
      </c>
    </row>
    <row r="9" customFormat="false" ht="15" hidden="false" customHeight="false" outlineLevel="0" collapsed="false">
      <c r="A9" s="2" t="s">
        <v>1327</v>
      </c>
      <c r="B9" s="5" t="n">
        <v>1000</v>
      </c>
      <c r="C9" s="2" t="s">
        <v>1324</v>
      </c>
      <c r="D9" s="2" t="s">
        <v>1319</v>
      </c>
    </row>
    <row r="10" customFormat="false" ht="15" hidden="false" customHeight="false" outlineLevel="0" collapsed="false">
      <c r="A10" s="2" t="s">
        <v>1328</v>
      </c>
      <c r="B10" s="5" t="n">
        <v>100</v>
      </c>
      <c r="C10" s="2" t="s">
        <v>1329</v>
      </c>
      <c r="D10" s="2" t="s">
        <v>1330</v>
      </c>
    </row>
    <row r="11" customFormat="false" ht="15" hidden="false" customHeight="false" outlineLevel="0" collapsed="false">
      <c r="A11" s="2" t="s">
        <v>1331</v>
      </c>
      <c r="B11" s="2" t="n">
        <v>7</v>
      </c>
      <c r="C11" s="2" t="s">
        <v>1332</v>
      </c>
      <c r="D11" s="2" t="s">
        <v>1333</v>
      </c>
    </row>
    <row r="12" customFormat="false" ht="15" hidden="false" customHeight="false" outlineLevel="0" collapsed="false">
      <c r="A12" s="2" t="s">
        <v>1334</v>
      </c>
      <c r="B12" s="5" t="n">
        <v>3</v>
      </c>
      <c r="C12" s="2" t="s">
        <v>1335</v>
      </c>
      <c r="D12" s="2" t="s">
        <v>1336</v>
      </c>
    </row>
    <row r="13" customFormat="false" ht="15" hidden="false" customHeight="false" outlineLevel="0" collapsed="false">
      <c r="A13" s="2" t="s">
        <v>1337</v>
      </c>
      <c r="B13" s="5" t="n">
        <f aca="false">B10/B11+B12</f>
        <v>17.2857142857143</v>
      </c>
      <c r="C13" s="2" t="s">
        <v>1335</v>
      </c>
      <c r="D13" s="2" t="s">
        <v>1338</v>
      </c>
    </row>
    <row r="14" customFormat="false" ht="15" hidden="false" customHeight="false" outlineLevel="0" collapsed="false">
      <c r="A14" s="1" t="s">
        <v>1339</v>
      </c>
    </row>
    <row r="15" customFormat="false" ht="15" hidden="false" customHeight="false" outlineLevel="0" collapsed="false">
      <c r="A15" s="2" t="s">
        <v>1340</v>
      </c>
      <c r="B15" s="2" t="str">
        <f aca="false">ROUTE!B40</f>
        <v>Pila &gt; IAN Solar (Caloocan) &gt; Felicity (Makati) &gt; One Point (Alabang) &gt; Blue Carbon (Santa Rosa) &gt; Pila-area site &gt; Pila</v>
      </c>
      <c r="C15" s="2"/>
      <c r="D15" s="2" t="s">
        <v>1341</v>
      </c>
    </row>
    <row r="16" customFormat="false" ht="15" hidden="false" customHeight="false" outlineLevel="0" collapsed="false">
      <c r="A16" s="2" t="s">
        <v>1342</v>
      </c>
      <c r="B16" s="2" t="n">
        <f aca="false">ROUTE!F38</f>
        <v>235</v>
      </c>
      <c r="C16" s="2" t="s">
        <v>1343</v>
      </c>
      <c r="D16" s="2" t="s">
        <v>1344</v>
      </c>
    </row>
    <row r="17" customFormat="false" ht="15" hidden="false" customHeight="false" outlineLevel="0" collapsed="false">
      <c r="A17" s="2" t="s">
        <v>1345</v>
      </c>
      <c r="B17" s="5" t="n">
        <f aca="false">ROUTE!G38</f>
        <v>2220</v>
      </c>
      <c r="C17" s="2" t="s">
        <v>1324</v>
      </c>
      <c r="D17" s="2" t="s">
        <v>1346</v>
      </c>
    </row>
    <row r="18" customFormat="false" ht="15" hidden="false" customHeight="false" outlineLevel="0" collapsed="false">
      <c r="A18" s="2" t="s">
        <v>1347</v>
      </c>
      <c r="B18" s="2" t="n">
        <v>1</v>
      </c>
      <c r="C18" s="2" t="s">
        <v>1348</v>
      </c>
      <c r="D18" s="2" t="s">
        <v>1349</v>
      </c>
    </row>
    <row r="19" customFormat="false" ht="15" hidden="false" customHeight="false" outlineLevel="0" collapsed="false">
      <c r="A19" s="2" t="s">
        <v>1350</v>
      </c>
      <c r="B19" s="5" t="n">
        <f aca="false">(B7+B8+B9)*B18+B16*B13+B17</f>
        <v>17282.1428571429</v>
      </c>
      <c r="C19" s="2" t="s">
        <v>1324</v>
      </c>
      <c r="D19" s="2" t="s">
        <v>1351</v>
      </c>
    </row>
    <row r="20" customFormat="false" ht="15" hidden="false" customHeight="false" outlineLevel="0" collapsed="false">
      <c r="A20" s="1" t="s">
        <v>1352</v>
      </c>
    </row>
    <row r="21" customFormat="false" ht="15" hidden="false" customHeight="false" outlineLevel="0" collapsed="false">
      <c r="A21" s="2" t="s">
        <v>1353</v>
      </c>
      <c r="B21" s="5" t="n">
        <v>1000</v>
      </c>
      <c r="C21" s="2" t="s">
        <v>1354</v>
      </c>
      <c r="D21" s="2" t="s">
        <v>1355</v>
      </c>
    </row>
    <row r="22" customFormat="false" ht="15" hidden="false" customHeight="false" outlineLevel="0" collapsed="false">
      <c r="A22" s="2" t="s">
        <v>1356</v>
      </c>
      <c r="B22" s="2" t="n">
        <v>6</v>
      </c>
      <c r="C22" s="2" t="s">
        <v>1357</v>
      </c>
      <c r="D22" s="2" t="s">
        <v>1358</v>
      </c>
    </row>
    <row r="23" customFormat="false" ht="15" hidden="false" customHeight="false" outlineLevel="0" collapsed="false">
      <c r="A23" s="2" t="s">
        <v>1359</v>
      </c>
      <c r="B23" s="5" t="n">
        <f aca="false">B21/8*B22</f>
        <v>750</v>
      </c>
      <c r="C23" s="2" t="s">
        <v>1324</v>
      </c>
      <c r="D23" s="2" t="s">
        <v>1360</v>
      </c>
    </row>
    <row r="24" customFormat="false" ht="15" hidden="false" customHeight="false" outlineLevel="0" collapsed="false">
      <c r="A24" s="2" t="s">
        <v>1361</v>
      </c>
      <c r="B24" s="9" t="n">
        <f aca="false">'REF BASKET'!F32</f>
        <v>0.144482896668418</v>
      </c>
      <c r="C24" s="2"/>
      <c r="D24" s="2" t="s">
        <v>1362</v>
      </c>
    </row>
    <row r="25" customFormat="false" ht="15" hidden="false" customHeight="false" outlineLevel="0" collapsed="false">
      <c r="A25" s="1" t="s">
        <v>1363</v>
      </c>
    </row>
    <row r="26" customFormat="false" ht="15" hidden="false" customHeight="false" outlineLevel="0" collapsed="false">
      <c r="A26" s="2" t="s">
        <v>1364</v>
      </c>
      <c r="B26" s="6" t="n">
        <v>0.05</v>
      </c>
      <c r="C26" s="2"/>
      <c r="D26" s="2" t="s">
        <v>1365</v>
      </c>
    </row>
    <row r="27" customFormat="false" ht="15" hidden="false" customHeight="false" outlineLevel="0" collapsed="false">
      <c r="A27" s="2" t="s">
        <v>1366</v>
      </c>
      <c r="B27" s="6" t="n">
        <v>0.12</v>
      </c>
      <c r="C27" s="2"/>
      <c r="D27" s="2"/>
    </row>
    <row r="28" customFormat="false" ht="15" hidden="false" customHeight="false" outlineLevel="0" collapsed="false">
      <c r="A28" s="2" t="s">
        <v>1367</v>
      </c>
      <c r="B28" s="6" t="n">
        <v>0.15</v>
      </c>
      <c r="C28" s="2"/>
      <c r="D28" s="2" t="s">
        <v>1368</v>
      </c>
    </row>
    <row r="30" customFormat="false" ht="15" hidden="false" customHeight="false" outlineLevel="0" collapsed="false">
      <c r="A30" s="1" t="s">
        <v>1369</v>
      </c>
    </row>
    <row r="31" customFormat="false" ht="15" hidden="false" customHeight="false" outlineLevel="0" collapsed="false">
      <c r="A31" s="1" t="s">
        <v>40</v>
      </c>
      <c r="B31" s="1" t="s">
        <v>44</v>
      </c>
      <c r="C31" s="1" t="s">
        <v>173</v>
      </c>
      <c r="D31" s="1" t="s">
        <v>1370</v>
      </c>
    </row>
    <row r="32" customFormat="false" ht="15" hidden="false" customHeight="false" outlineLevel="0" collapsed="false">
      <c r="A32" s="2" t="s">
        <v>183</v>
      </c>
      <c r="B32" s="6" t="n">
        <v>0.1</v>
      </c>
      <c r="C32" s="6" t="n">
        <v>0</v>
      </c>
      <c r="D32" s="2" t="s">
        <v>1371</v>
      </c>
    </row>
    <row r="33" customFormat="false" ht="15" hidden="false" customHeight="false" outlineLevel="0" collapsed="false">
      <c r="A33" s="2" t="s">
        <v>235</v>
      </c>
      <c r="B33" s="6" t="n">
        <v>0.1</v>
      </c>
      <c r="C33" s="6" t="n">
        <v>0</v>
      </c>
      <c r="D33" s="2" t="s">
        <v>1372</v>
      </c>
    </row>
    <row r="34" customFormat="false" ht="15" hidden="false" customHeight="false" outlineLevel="0" collapsed="false">
      <c r="A34" s="2" t="s">
        <v>515</v>
      </c>
      <c r="B34" s="6" t="n">
        <v>0.15</v>
      </c>
      <c r="C34" s="6" t="n">
        <v>0</v>
      </c>
      <c r="D34" s="2" t="s">
        <v>1373</v>
      </c>
    </row>
    <row r="35" customFormat="false" ht="15" hidden="false" customHeight="false" outlineLevel="0" collapsed="false">
      <c r="A35" s="2" t="s">
        <v>650</v>
      </c>
      <c r="B35" s="6" t="n">
        <v>0.15</v>
      </c>
      <c r="C35" s="6" t="n">
        <v>0</v>
      </c>
      <c r="D35" s="2" t="s">
        <v>1374</v>
      </c>
    </row>
    <row r="36" customFormat="false" ht="15" hidden="false" customHeight="false" outlineLevel="0" collapsed="false">
      <c r="A36" s="2" t="s">
        <v>681</v>
      </c>
      <c r="B36" s="6" t="n">
        <v>0.3</v>
      </c>
      <c r="C36" s="6" t="n">
        <v>0.02</v>
      </c>
      <c r="D36" s="2" t="s">
        <v>1375</v>
      </c>
    </row>
    <row r="37" customFormat="false" ht="15" hidden="false" customHeight="false" outlineLevel="0" collapsed="false">
      <c r="A37" s="2" t="s">
        <v>750</v>
      </c>
      <c r="B37" s="6" t="n">
        <v>0.3</v>
      </c>
      <c r="C37" s="6" t="n">
        <v>0.05</v>
      </c>
      <c r="D37" s="2" t="s">
        <v>1376</v>
      </c>
    </row>
    <row r="38" customFormat="false" ht="15" hidden="false" customHeight="false" outlineLevel="0" collapsed="false">
      <c r="A38" s="2" t="s">
        <v>891</v>
      </c>
      <c r="B38" s="6" t="n">
        <v>0.3</v>
      </c>
      <c r="C38" s="6" t="n">
        <v>0</v>
      </c>
      <c r="D38" s="2"/>
    </row>
    <row r="39" customFormat="false" ht="15" hidden="false" customHeight="false" outlineLevel="0" collapsed="false">
      <c r="A39" s="2" t="s">
        <v>1116</v>
      </c>
      <c r="B39" s="6" t="n">
        <v>0.3</v>
      </c>
      <c r="C39" s="6" t="n">
        <v>0.05</v>
      </c>
      <c r="D39" s="2" t="s">
        <v>1377</v>
      </c>
    </row>
    <row r="40" customFormat="false" ht="15" hidden="false" customHeight="false" outlineLevel="0" collapsed="false">
      <c r="A40" s="2" t="s">
        <v>1186</v>
      </c>
      <c r="B40" s="6" t="n">
        <v>0.3</v>
      </c>
      <c r="C40" s="6" t="n">
        <v>0.02</v>
      </c>
      <c r="D40" s="2" t="s">
        <v>1378</v>
      </c>
    </row>
    <row r="41" customFormat="false" ht="15" hidden="false" customHeight="false" outlineLevel="0" collapsed="false">
      <c r="A41" s="2" t="s">
        <v>1198</v>
      </c>
      <c r="B41" s="6" t="n">
        <v>0.3</v>
      </c>
      <c r="C41" s="6" t="n">
        <v>0</v>
      </c>
      <c r="D41" s="2"/>
    </row>
    <row r="42" customFormat="false" ht="15" hidden="false" customHeight="false" outlineLevel="0" collapsed="false">
      <c r="A42" s="2" t="s">
        <v>1265</v>
      </c>
      <c r="B42" s="6" t="n">
        <v>0.3</v>
      </c>
      <c r="C42" s="6" t="n">
        <v>0.1</v>
      </c>
      <c r="D42" s="2" t="s">
        <v>1378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4" min="3" style="0" width="14"/>
    <col collapsed="false" customWidth="true" hidden="false" outlineLevel="0" max="5" min="5" style="0" width="12"/>
    <col collapsed="false" customWidth="true" hidden="false" outlineLevel="0" max="6" min="6" style="0" width="14"/>
    <col collapsed="false" customWidth="true" hidden="false" outlineLevel="0" max="7" min="7" style="0" width="24"/>
    <col collapsed="false" customWidth="true" hidden="false" outlineLevel="0" max="8" min="8" style="0" width="60"/>
    <col collapsed="false" customWidth="true" hidden="false" outlineLevel="0" max="9" min="9" style="0" width="50"/>
    <col collapsed="false" customWidth="true" hidden="false" outlineLevel="0" max="10" min="10" style="0" width="70"/>
  </cols>
  <sheetData>
    <row r="1" customFormat="false" ht="15" hidden="false" customHeight="false" outlineLevel="0" collapsed="false">
      <c r="A1" s="1" t="s">
        <v>1379</v>
      </c>
    </row>
    <row r="2" customFormat="false" ht="15" hidden="false" customHeight="false" outlineLevel="0" collapsed="false">
      <c r="A2" s="1" t="s">
        <v>41</v>
      </c>
      <c r="B2" s="1" t="s">
        <v>1380</v>
      </c>
      <c r="C2" s="1" t="s">
        <v>1381</v>
      </c>
      <c r="D2" s="1" t="s">
        <v>1382</v>
      </c>
      <c r="E2" s="1" t="s">
        <v>1383</v>
      </c>
      <c r="F2" s="1" t="s">
        <v>1384</v>
      </c>
      <c r="G2" s="1" t="s">
        <v>180</v>
      </c>
      <c r="H2" s="1" t="s">
        <v>1385</v>
      </c>
      <c r="I2" s="1" t="s">
        <v>1386</v>
      </c>
      <c r="J2" s="1" t="s">
        <v>52</v>
      </c>
    </row>
    <row r="3" customFormat="false" ht="15" hidden="false" customHeight="false" outlineLevel="0" collapsed="false">
      <c r="A3" s="2" t="s">
        <v>93</v>
      </c>
      <c r="B3" s="2" t="s">
        <v>1387</v>
      </c>
      <c r="C3" s="2" t="n">
        <f aca="false">ROUTE!F8</f>
        <v>55</v>
      </c>
      <c r="D3" s="6" t="n">
        <v>0</v>
      </c>
      <c r="E3" s="6" t="n">
        <v>0</v>
      </c>
      <c r="F3" s="2" t="s">
        <v>1388</v>
      </c>
      <c r="G3" s="2" t="s">
        <v>1389</v>
      </c>
      <c r="H3" s="2" t="s">
        <v>1390</v>
      </c>
      <c r="I3" s="2" t="s">
        <v>1391</v>
      </c>
      <c r="J3" s="2" t="s">
        <v>1392</v>
      </c>
    </row>
    <row r="4" customFormat="false" ht="15" hidden="false" customHeight="false" outlineLevel="0" collapsed="false">
      <c r="A4" s="2" t="s">
        <v>91</v>
      </c>
      <c r="B4" s="2" t="s">
        <v>1393</v>
      </c>
      <c r="C4" s="2" t="n">
        <f aca="false">ROUTE!F6</f>
        <v>90</v>
      </c>
      <c r="D4" s="6" t="n">
        <v>0</v>
      </c>
      <c r="E4" s="6" t="n">
        <v>0</v>
      </c>
      <c r="F4" s="2" t="s">
        <v>1388</v>
      </c>
      <c r="G4" s="2" t="s">
        <v>272</v>
      </c>
      <c r="H4" s="2" t="s">
        <v>1394</v>
      </c>
      <c r="I4" s="2" t="s">
        <v>1395</v>
      </c>
      <c r="J4" s="2" t="s">
        <v>1392</v>
      </c>
    </row>
    <row r="5" customFormat="false" ht="15" hidden="false" customHeight="false" outlineLevel="0" collapsed="false">
      <c r="A5" s="2" t="s">
        <v>90</v>
      </c>
      <c r="B5" s="2" t="s">
        <v>1396</v>
      </c>
      <c r="C5" s="2" t="n">
        <f aca="false">ROUTE!F5</f>
        <v>110</v>
      </c>
      <c r="D5" s="6" t="n">
        <v>0</v>
      </c>
      <c r="E5" s="6" t="n">
        <v>0</v>
      </c>
      <c r="F5" s="2" t="s">
        <v>1388</v>
      </c>
      <c r="G5" s="2" t="s">
        <v>205</v>
      </c>
      <c r="H5" s="2" t="s">
        <v>1397</v>
      </c>
      <c r="I5" s="2" t="s">
        <v>1398</v>
      </c>
      <c r="J5" s="2" t="s">
        <v>1399</v>
      </c>
    </row>
    <row r="6" customFormat="false" ht="15" hidden="false" customHeight="false" outlineLevel="0" collapsed="false">
      <c r="A6" s="2" t="s">
        <v>92</v>
      </c>
      <c r="B6" s="2" t="s">
        <v>1400</v>
      </c>
      <c r="C6" s="2" t="n">
        <f aca="false">ROUTE!F7</f>
        <v>70</v>
      </c>
      <c r="D6" s="6" t="n">
        <v>0</v>
      </c>
      <c r="E6" s="6" t="n">
        <v>0</v>
      </c>
      <c r="F6" s="2" t="s">
        <v>1388</v>
      </c>
      <c r="G6" s="2" t="s">
        <v>1401</v>
      </c>
      <c r="H6" s="2" t="s">
        <v>1402</v>
      </c>
      <c r="I6" s="2" t="s">
        <v>1398</v>
      </c>
      <c r="J6" s="2" t="s">
        <v>1403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4" min="2" style="0" width="11"/>
  </cols>
  <sheetData>
    <row r="1" customFormat="false" ht="15" hidden="false" customHeight="false" outlineLevel="0" collapsed="false">
      <c r="A1" s="1" t="s">
        <v>1404</v>
      </c>
    </row>
    <row r="3" customFormat="false" ht="15" hidden="false" customHeight="false" outlineLevel="0" collapsed="false">
      <c r="A3" s="1" t="s">
        <v>1405</v>
      </c>
    </row>
    <row r="4" customFormat="false" ht="15" hidden="false" customHeight="false" outlineLevel="0" collapsed="false">
      <c r="A4" s="1" t="s">
        <v>1406</v>
      </c>
      <c r="B4" s="1" t="s">
        <v>1407</v>
      </c>
      <c r="C4" s="1" t="s">
        <v>1408</v>
      </c>
      <c r="D4" s="1" t="s">
        <v>1409</v>
      </c>
      <c r="E4" s="1" t="s">
        <v>1410</v>
      </c>
      <c r="F4" s="1" t="s">
        <v>1411</v>
      </c>
      <c r="G4" s="1" t="s">
        <v>1412</v>
      </c>
      <c r="H4" s="1" t="s">
        <v>1413</v>
      </c>
    </row>
    <row r="5" customFormat="false" ht="15" hidden="false" customHeight="false" outlineLevel="0" collapsed="false">
      <c r="A5" s="1" t="s">
        <v>1408</v>
      </c>
      <c r="B5" s="5" t="n">
        <v>210</v>
      </c>
      <c r="C5" s="2" t="s">
        <v>1414</v>
      </c>
      <c r="D5" s="2" t="s">
        <v>1414</v>
      </c>
      <c r="E5" s="2" t="s">
        <v>1414</v>
      </c>
      <c r="F5" s="2" t="s">
        <v>1414</v>
      </c>
      <c r="G5" s="5" t="n">
        <v>528</v>
      </c>
      <c r="H5" s="5" t="n">
        <v>528</v>
      </c>
    </row>
    <row r="6" customFormat="false" ht="15" hidden="false" customHeight="false" outlineLevel="0" collapsed="false">
      <c r="A6" s="1" t="s">
        <v>1409</v>
      </c>
      <c r="B6" s="2" t="s">
        <v>1414</v>
      </c>
      <c r="C6" s="2" t="s">
        <v>1414</v>
      </c>
      <c r="D6" s="2" t="s">
        <v>1414</v>
      </c>
      <c r="E6" s="2" t="s">
        <v>1414</v>
      </c>
      <c r="F6" s="2" t="s">
        <v>1414</v>
      </c>
      <c r="G6" s="2" t="s">
        <v>1414</v>
      </c>
      <c r="H6" s="2" t="s">
        <v>1414</v>
      </c>
    </row>
    <row r="7" customFormat="false" ht="15" hidden="false" customHeight="false" outlineLevel="0" collapsed="false">
      <c r="A7" s="1" t="s">
        <v>1410</v>
      </c>
      <c r="B7" s="5" t="n">
        <v>210</v>
      </c>
      <c r="C7" s="2" t="s">
        <v>1414</v>
      </c>
      <c r="D7" s="2" t="s">
        <v>1414</v>
      </c>
      <c r="E7" s="2" t="s">
        <v>1414</v>
      </c>
      <c r="F7" s="2" t="s">
        <v>1414</v>
      </c>
      <c r="G7" s="5" t="n">
        <v>528</v>
      </c>
      <c r="H7" s="5" t="n">
        <v>528</v>
      </c>
    </row>
    <row r="8" customFormat="false" ht="15" hidden="false" customHeight="false" outlineLevel="0" collapsed="false">
      <c r="A8" s="1" t="s">
        <v>1411</v>
      </c>
      <c r="B8" s="2" t="s">
        <v>1414</v>
      </c>
      <c r="C8" s="2" t="s">
        <v>1414</v>
      </c>
      <c r="D8" s="2" t="s">
        <v>1414</v>
      </c>
      <c r="E8" s="2" t="s">
        <v>1414</v>
      </c>
      <c r="F8" s="2" t="s">
        <v>1414</v>
      </c>
      <c r="G8" s="5" t="n">
        <v>258</v>
      </c>
      <c r="H8" s="5" t="n">
        <v>258</v>
      </c>
    </row>
    <row r="9" customFormat="false" ht="15" hidden="false" customHeight="false" outlineLevel="0" collapsed="false">
      <c r="A9" s="1" t="s">
        <v>1412</v>
      </c>
      <c r="B9" s="5" t="n">
        <v>528</v>
      </c>
      <c r="C9" s="5" t="n">
        <v>528</v>
      </c>
      <c r="D9" s="2" t="s">
        <v>1414</v>
      </c>
      <c r="E9" s="5" t="n">
        <v>528</v>
      </c>
      <c r="F9" s="5" t="n">
        <v>258</v>
      </c>
      <c r="G9" s="2" t="s">
        <v>1414</v>
      </c>
      <c r="H9" s="5" t="n">
        <v>258</v>
      </c>
    </row>
    <row r="10" customFormat="false" ht="15" hidden="false" customHeight="false" outlineLevel="0" collapsed="false">
      <c r="A10" s="1" t="s">
        <v>1413</v>
      </c>
      <c r="B10" s="5" t="n">
        <v>528</v>
      </c>
      <c r="C10" s="5" t="n">
        <v>528</v>
      </c>
      <c r="D10" s="2" t="s">
        <v>1414</v>
      </c>
      <c r="E10" s="5" t="n">
        <v>528</v>
      </c>
      <c r="F10" s="5" t="n">
        <v>258</v>
      </c>
      <c r="G10" s="5" t="n">
        <v>258</v>
      </c>
      <c r="H10" s="2" t="s">
        <v>1414</v>
      </c>
    </row>
    <row r="11" customFormat="false" ht="15" hidden="false" customHeight="false" outlineLevel="0" collapsed="false">
      <c r="A11" s="1" t="s">
        <v>1415</v>
      </c>
      <c r="B11" s="5" t="n">
        <v>528</v>
      </c>
      <c r="C11" s="5" t="n">
        <v>528</v>
      </c>
      <c r="D11" s="2" t="s">
        <v>1414</v>
      </c>
      <c r="E11" s="5" t="n">
        <v>528</v>
      </c>
      <c r="F11" s="5" t="n">
        <v>258</v>
      </c>
      <c r="G11" s="5" t="n">
        <v>258</v>
      </c>
      <c r="H11" s="2" t="s">
        <v>1414</v>
      </c>
    </row>
    <row r="13" customFormat="false" ht="15" hidden="false" customHeight="false" outlineLevel="0" collapsed="false">
      <c r="A13" s="1" t="s">
        <v>1416</v>
      </c>
    </row>
    <row r="14" customFormat="false" ht="15" hidden="false" customHeight="false" outlineLevel="0" collapsed="false">
      <c r="A14" s="1" t="s">
        <v>1406</v>
      </c>
      <c r="B14" s="1" t="s">
        <v>1417</v>
      </c>
      <c r="C14" s="1" t="s">
        <v>1407</v>
      </c>
      <c r="D14" s="1" t="s">
        <v>1418</v>
      </c>
      <c r="E14" s="1" t="s">
        <v>1419</v>
      </c>
      <c r="F14" s="1" t="s">
        <v>1420</v>
      </c>
      <c r="G14" s="1" t="s">
        <v>1421</v>
      </c>
      <c r="H14" s="1" t="s">
        <v>1422</v>
      </c>
      <c r="I14" s="1" t="s">
        <v>1423</v>
      </c>
      <c r="J14" s="1" t="s">
        <v>1424</v>
      </c>
      <c r="K14" s="1" t="s">
        <v>1425</v>
      </c>
      <c r="L14" s="1" t="s">
        <v>1426</v>
      </c>
      <c r="M14" s="1" t="s">
        <v>1427</v>
      </c>
      <c r="N14" s="1" t="s">
        <v>1428</v>
      </c>
      <c r="O14" s="1" t="s">
        <v>1429</v>
      </c>
      <c r="P14" s="1" t="s">
        <v>1430</v>
      </c>
      <c r="Q14" s="1" t="s">
        <v>1431</v>
      </c>
      <c r="R14" s="1" t="s">
        <v>1432</v>
      </c>
      <c r="S14" s="1" t="s">
        <v>1433</v>
      </c>
      <c r="T14" s="1" t="s">
        <v>1434</v>
      </c>
      <c r="U14" s="1" t="s">
        <v>1435</v>
      </c>
      <c r="V14" s="1" t="s">
        <v>1436</v>
      </c>
      <c r="W14" s="1" t="s">
        <v>1437</v>
      </c>
    </row>
    <row r="15" customFormat="false" ht="15" hidden="false" customHeight="false" outlineLevel="0" collapsed="false">
      <c r="A15" s="1" t="s">
        <v>1407</v>
      </c>
      <c r="B15" s="2" t="s">
        <v>1414</v>
      </c>
      <c r="C15" s="2" t="s">
        <v>1414</v>
      </c>
      <c r="D15" s="2" t="s">
        <v>1414</v>
      </c>
      <c r="E15" s="2" t="s">
        <v>1414</v>
      </c>
      <c r="F15" s="5" t="n">
        <v>145</v>
      </c>
      <c r="G15" s="2" t="s">
        <v>1414</v>
      </c>
      <c r="H15" s="2" t="s">
        <v>1438</v>
      </c>
      <c r="I15" s="5" t="n">
        <v>237</v>
      </c>
      <c r="J15" s="5" t="n">
        <v>329</v>
      </c>
      <c r="K15" s="2" t="s">
        <v>1414</v>
      </c>
      <c r="L15" s="5" t="n">
        <v>418</v>
      </c>
      <c r="M15" s="5" t="n">
        <v>371</v>
      </c>
      <c r="N15" s="5" t="n">
        <v>385</v>
      </c>
      <c r="O15" s="5" t="n">
        <v>420</v>
      </c>
      <c r="P15" s="5" t="n">
        <v>434</v>
      </c>
      <c r="Q15" s="5" t="n">
        <v>457</v>
      </c>
      <c r="R15" s="5" t="n">
        <v>478</v>
      </c>
      <c r="S15" s="5" t="n">
        <v>508</v>
      </c>
      <c r="T15" s="5" t="n">
        <v>527</v>
      </c>
      <c r="U15" s="5" t="n">
        <v>540</v>
      </c>
      <c r="V15" s="5" t="n">
        <v>582</v>
      </c>
      <c r="W15" s="2" t="s">
        <v>1414</v>
      </c>
    </row>
    <row r="16" customFormat="false" ht="15" hidden="false" customHeight="false" outlineLevel="0" collapsed="false">
      <c r="A16" s="1" t="s">
        <v>1418</v>
      </c>
      <c r="B16" s="2" t="s">
        <v>1414</v>
      </c>
      <c r="C16" s="2" t="s">
        <v>1414</v>
      </c>
      <c r="D16" s="2" t="s">
        <v>1414</v>
      </c>
      <c r="E16" s="2" t="s">
        <v>1414</v>
      </c>
      <c r="F16" s="5" t="n">
        <v>98</v>
      </c>
      <c r="G16" s="2" t="s">
        <v>1414</v>
      </c>
      <c r="H16" s="2" t="s">
        <v>1414</v>
      </c>
      <c r="I16" s="5" t="n">
        <v>168</v>
      </c>
      <c r="J16" s="5" t="n">
        <v>237</v>
      </c>
      <c r="K16" s="5" t="n">
        <v>248</v>
      </c>
      <c r="L16" s="5" t="n">
        <v>326</v>
      </c>
      <c r="M16" s="5" t="n">
        <v>279</v>
      </c>
      <c r="N16" s="5" t="n">
        <v>293</v>
      </c>
      <c r="O16" s="5" t="n">
        <v>328</v>
      </c>
      <c r="P16" s="5" t="n">
        <v>342</v>
      </c>
      <c r="Q16" s="5" t="n">
        <v>365</v>
      </c>
      <c r="R16" s="5" t="n">
        <v>386</v>
      </c>
      <c r="S16" s="5" t="n">
        <v>416</v>
      </c>
      <c r="T16" s="5" t="n">
        <v>435</v>
      </c>
      <c r="U16" s="5" t="n">
        <v>448</v>
      </c>
      <c r="V16" s="5" t="n">
        <v>490</v>
      </c>
      <c r="W16" s="2" t="s">
        <v>1414</v>
      </c>
    </row>
    <row r="17" customFormat="false" ht="15" hidden="false" customHeight="false" outlineLevel="0" collapsed="false">
      <c r="A17" s="1" t="s">
        <v>1419</v>
      </c>
      <c r="B17" s="2" t="s">
        <v>1414</v>
      </c>
      <c r="C17" s="2" t="s">
        <v>1414</v>
      </c>
      <c r="D17" s="2" t="s">
        <v>1414</v>
      </c>
      <c r="E17" s="2" t="s">
        <v>1414</v>
      </c>
      <c r="F17" s="5" t="n">
        <v>145</v>
      </c>
      <c r="G17" s="2" t="s">
        <v>1414</v>
      </c>
      <c r="H17" s="2" t="s">
        <v>1438</v>
      </c>
      <c r="I17" s="5" t="n">
        <v>237</v>
      </c>
      <c r="J17" s="5" t="n">
        <v>329</v>
      </c>
      <c r="K17" s="2" t="s">
        <v>1414</v>
      </c>
      <c r="L17" s="5" t="n">
        <v>418</v>
      </c>
      <c r="M17" s="5" t="n">
        <v>371</v>
      </c>
      <c r="N17" s="5" t="n">
        <v>385</v>
      </c>
      <c r="O17" s="5" t="n">
        <v>420</v>
      </c>
      <c r="P17" s="5" t="n">
        <v>434</v>
      </c>
      <c r="Q17" s="5" t="n">
        <v>457</v>
      </c>
      <c r="R17" s="5" t="n">
        <v>478</v>
      </c>
      <c r="S17" s="5" t="n">
        <v>508</v>
      </c>
      <c r="T17" s="5" t="n">
        <v>527</v>
      </c>
      <c r="U17" s="5" t="n">
        <v>540</v>
      </c>
      <c r="V17" s="5" t="n">
        <v>582</v>
      </c>
      <c r="W17" s="2" t="s">
        <v>1414</v>
      </c>
    </row>
    <row r="18" customFormat="false" ht="15" hidden="false" customHeight="false" outlineLevel="0" collapsed="false">
      <c r="A18" s="1" t="s">
        <v>1420</v>
      </c>
      <c r="B18" s="5" t="n">
        <v>98</v>
      </c>
      <c r="C18" s="5" t="n">
        <v>145</v>
      </c>
      <c r="D18" s="5" t="n">
        <v>98</v>
      </c>
      <c r="E18" s="5" t="n">
        <v>145</v>
      </c>
      <c r="F18" s="2" t="s">
        <v>1414</v>
      </c>
      <c r="G18" s="5" t="n">
        <v>145</v>
      </c>
      <c r="H18" s="5" t="n">
        <v>145</v>
      </c>
      <c r="I18" s="5" t="n">
        <v>69</v>
      </c>
      <c r="J18" s="5" t="n">
        <v>138</v>
      </c>
      <c r="K18" s="5" t="n">
        <v>149</v>
      </c>
      <c r="L18" s="5" t="n">
        <v>227</v>
      </c>
      <c r="M18" s="5" t="n">
        <v>180</v>
      </c>
      <c r="N18" s="5" t="n">
        <v>194</v>
      </c>
      <c r="O18" s="5" t="n">
        <v>229</v>
      </c>
      <c r="P18" s="5" t="n">
        <v>243</v>
      </c>
      <c r="Q18" s="5" t="n">
        <v>266</v>
      </c>
      <c r="R18" s="5" t="n">
        <v>287</v>
      </c>
      <c r="S18" s="5" t="n">
        <v>317</v>
      </c>
      <c r="T18" s="5" t="n">
        <v>336</v>
      </c>
      <c r="U18" s="5" t="n">
        <v>349</v>
      </c>
      <c r="V18" s="5" t="n">
        <v>391</v>
      </c>
      <c r="W18" s="2" t="s">
        <v>1414</v>
      </c>
    </row>
    <row r="19" customFormat="false" ht="15" hidden="false" customHeight="false" outlineLevel="0" collapsed="false">
      <c r="A19" s="1" t="s">
        <v>1421</v>
      </c>
      <c r="B19" s="2" t="s">
        <v>1414</v>
      </c>
      <c r="C19" s="2" t="s">
        <v>1414</v>
      </c>
      <c r="D19" s="2" t="s">
        <v>1414</v>
      </c>
      <c r="E19" s="2" t="s">
        <v>1414</v>
      </c>
      <c r="F19" s="5" t="n">
        <v>145</v>
      </c>
      <c r="G19" s="2" t="s">
        <v>1414</v>
      </c>
      <c r="H19" s="2" t="s">
        <v>1438</v>
      </c>
      <c r="I19" s="5" t="n">
        <v>237</v>
      </c>
      <c r="J19" s="5" t="n">
        <v>329</v>
      </c>
      <c r="K19" s="2" t="s">
        <v>1414</v>
      </c>
      <c r="L19" s="5" t="n">
        <v>418</v>
      </c>
      <c r="M19" s="5" t="n">
        <v>371</v>
      </c>
      <c r="N19" s="5" t="n">
        <v>385</v>
      </c>
      <c r="O19" s="5" t="n">
        <v>420</v>
      </c>
      <c r="P19" s="5" t="n">
        <v>434</v>
      </c>
      <c r="Q19" s="5" t="n">
        <v>457</v>
      </c>
      <c r="R19" s="5" t="n">
        <v>478</v>
      </c>
      <c r="S19" s="5" t="n">
        <v>508</v>
      </c>
      <c r="T19" s="5" t="n">
        <v>527</v>
      </c>
      <c r="U19" s="5" t="n">
        <v>540</v>
      </c>
      <c r="V19" s="5" t="n">
        <v>582</v>
      </c>
      <c r="W19" s="2" t="s">
        <v>1414</v>
      </c>
    </row>
    <row r="20" customFormat="false" ht="15" hidden="false" customHeight="false" outlineLevel="0" collapsed="false">
      <c r="A20" s="1" t="s">
        <v>1422</v>
      </c>
      <c r="B20" s="2" t="s">
        <v>1414</v>
      </c>
      <c r="C20" s="2" t="s">
        <v>1438</v>
      </c>
      <c r="D20" s="2" t="s">
        <v>1414</v>
      </c>
      <c r="E20" s="2" t="s">
        <v>1438</v>
      </c>
      <c r="F20" s="5" t="n">
        <v>145</v>
      </c>
      <c r="G20" s="2" t="s">
        <v>1438</v>
      </c>
      <c r="H20" s="2" t="s">
        <v>1414</v>
      </c>
      <c r="I20" s="5" t="n">
        <v>237</v>
      </c>
      <c r="J20" s="5" t="n">
        <v>329</v>
      </c>
      <c r="K20" s="2" t="s">
        <v>1414</v>
      </c>
      <c r="L20" s="5" t="n">
        <v>418</v>
      </c>
      <c r="M20" s="5" t="n">
        <v>371</v>
      </c>
      <c r="N20" s="5" t="n">
        <v>385</v>
      </c>
      <c r="O20" s="5" t="n">
        <v>420</v>
      </c>
      <c r="P20" s="5" t="n">
        <v>434</v>
      </c>
      <c r="Q20" s="5" t="n">
        <v>457</v>
      </c>
      <c r="R20" s="5" t="n">
        <v>478</v>
      </c>
      <c r="S20" s="5" t="n">
        <v>508</v>
      </c>
      <c r="T20" s="5" t="n">
        <v>527</v>
      </c>
      <c r="U20" s="5" t="n">
        <v>540</v>
      </c>
      <c r="V20" s="5" t="n">
        <v>582</v>
      </c>
      <c r="W20" s="2" t="s">
        <v>1414</v>
      </c>
    </row>
    <row r="21" customFormat="false" ht="15" hidden="false" customHeight="false" outlineLevel="0" collapsed="false">
      <c r="A21" s="1" t="s">
        <v>1423</v>
      </c>
      <c r="B21" s="5" t="n">
        <v>168</v>
      </c>
      <c r="C21" s="5" t="n">
        <v>237</v>
      </c>
      <c r="D21" s="5" t="n">
        <v>168</v>
      </c>
      <c r="E21" s="5" t="n">
        <v>237</v>
      </c>
      <c r="F21" s="5" t="n">
        <v>69</v>
      </c>
      <c r="G21" s="5" t="n">
        <v>237</v>
      </c>
      <c r="H21" s="5" t="n">
        <v>237</v>
      </c>
      <c r="I21" s="2" t="s">
        <v>1414</v>
      </c>
      <c r="J21" s="5" t="n">
        <v>69</v>
      </c>
      <c r="K21" s="5" t="n">
        <v>80</v>
      </c>
      <c r="L21" s="5" t="n">
        <v>158</v>
      </c>
      <c r="M21" s="5" t="n">
        <v>111</v>
      </c>
      <c r="N21" s="5" t="n">
        <v>125</v>
      </c>
      <c r="O21" s="5" t="n">
        <v>160</v>
      </c>
      <c r="P21" s="5" t="n">
        <v>174</v>
      </c>
      <c r="Q21" s="5" t="n">
        <v>197</v>
      </c>
      <c r="R21" s="5" t="n">
        <v>218</v>
      </c>
      <c r="S21" s="5" t="n">
        <v>248</v>
      </c>
      <c r="T21" s="5" t="n">
        <v>267</v>
      </c>
      <c r="U21" s="5" t="n">
        <v>280</v>
      </c>
      <c r="V21" s="5" t="n">
        <v>322</v>
      </c>
      <c r="W21" s="2" t="s">
        <v>1414</v>
      </c>
    </row>
    <row r="22" customFormat="false" ht="15" hidden="false" customHeight="false" outlineLevel="0" collapsed="false">
      <c r="A22" s="1" t="s">
        <v>1424</v>
      </c>
      <c r="B22" s="5" t="n">
        <v>237</v>
      </c>
      <c r="C22" s="5" t="n">
        <v>329</v>
      </c>
      <c r="D22" s="5" t="n">
        <v>237</v>
      </c>
      <c r="E22" s="5" t="n">
        <v>329</v>
      </c>
      <c r="F22" s="5" t="n">
        <v>138</v>
      </c>
      <c r="G22" s="5" t="n">
        <v>329</v>
      </c>
      <c r="H22" s="5" t="n">
        <v>329</v>
      </c>
      <c r="I22" s="5" t="n">
        <v>69</v>
      </c>
      <c r="J22" s="2" t="s">
        <v>1414</v>
      </c>
      <c r="K22" s="5" t="n">
        <v>11</v>
      </c>
      <c r="L22" s="5" t="n">
        <v>89</v>
      </c>
      <c r="M22" s="5" t="n">
        <v>42</v>
      </c>
      <c r="N22" s="5" t="n">
        <v>56</v>
      </c>
      <c r="O22" s="5" t="n">
        <v>91</v>
      </c>
      <c r="P22" s="5" t="n">
        <v>105</v>
      </c>
      <c r="Q22" s="5" t="n">
        <v>128</v>
      </c>
      <c r="R22" s="5" t="n">
        <v>149</v>
      </c>
      <c r="S22" s="5" t="n">
        <v>179</v>
      </c>
      <c r="T22" s="5" t="n">
        <v>198</v>
      </c>
      <c r="U22" s="5" t="n">
        <v>211</v>
      </c>
      <c r="V22" s="5" t="n">
        <v>253</v>
      </c>
      <c r="W22" s="2" t="s">
        <v>1414</v>
      </c>
    </row>
    <row r="23" customFormat="false" ht="15" hidden="false" customHeight="false" outlineLevel="0" collapsed="false">
      <c r="A23" s="1" t="s">
        <v>1425</v>
      </c>
      <c r="B23" s="5" t="n">
        <v>248</v>
      </c>
      <c r="C23" s="2" t="s">
        <v>1414</v>
      </c>
      <c r="D23" s="5" t="n">
        <v>248</v>
      </c>
      <c r="E23" s="2" t="s">
        <v>1414</v>
      </c>
      <c r="F23" s="5" t="n">
        <v>149</v>
      </c>
      <c r="G23" s="2" t="s">
        <v>1414</v>
      </c>
      <c r="H23" s="2" t="s">
        <v>1414</v>
      </c>
      <c r="I23" s="5" t="n">
        <v>80</v>
      </c>
      <c r="J23" s="5" t="n">
        <v>11</v>
      </c>
      <c r="K23" s="2" t="s">
        <v>1414</v>
      </c>
      <c r="L23" s="5" t="n">
        <v>78</v>
      </c>
      <c r="M23" s="5" t="n">
        <v>31</v>
      </c>
      <c r="N23" s="5" t="n">
        <v>45</v>
      </c>
      <c r="O23" s="5" t="n">
        <v>80</v>
      </c>
      <c r="P23" s="5" t="n">
        <v>94</v>
      </c>
      <c r="Q23" s="5" t="n">
        <v>117</v>
      </c>
      <c r="R23" s="5" t="n">
        <v>138</v>
      </c>
      <c r="S23" s="5" t="n">
        <v>168</v>
      </c>
      <c r="T23" s="5" t="n">
        <v>187</v>
      </c>
      <c r="U23" s="5" t="n">
        <v>200</v>
      </c>
      <c r="V23" s="5" t="n">
        <v>242</v>
      </c>
      <c r="W23" s="2" t="s">
        <v>1414</v>
      </c>
    </row>
    <row r="24" customFormat="false" ht="15" hidden="false" customHeight="false" outlineLevel="0" collapsed="false">
      <c r="A24" s="1" t="s">
        <v>1426</v>
      </c>
      <c r="B24" s="5" t="n">
        <v>326</v>
      </c>
      <c r="C24" s="5" t="n">
        <v>418</v>
      </c>
      <c r="D24" s="5" t="n">
        <v>326</v>
      </c>
      <c r="E24" s="5" t="n">
        <v>418</v>
      </c>
      <c r="F24" s="5" t="n">
        <v>227</v>
      </c>
      <c r="G24" s="5" t="n">
        <v>418</v>
      </c>
      <c r="H24" s="5" t="n">
        <v>418</v>
      </c>
      <c r="I24" s="5" t="n">
        <v>158</v>
      </c>
      <c r="J24" s="5" t="n">
        <v>89</v>
      </c>
      <c r="K24" s="5" t="n">
        <v>78</v>
      </c>
      <c r="L24" s="2" t="s">
        <v>1414</v>
      </c>
      <c r="M24" s="5" t="n">
        <v>47</v>
      </c>
      <c r="N24" s="5" t="n">
        <v>61</v>
      </c>
      <c r="O24" s="5" t="n">
        <v>96</v>
      </c>
      <c r="P24" s="5" t="n">
        <v>110</v>
      </c>
      <c r="Q24" s="5" t="n">
        <v>133</v>
      </c>
      <c r="R24" s="5" t="n">
        <v>154</v>
      </c>
      <c r="S24" s="5" t="n">
        <v>184</v>
      </c>
      <c r="T24" s="5" t="n">
        <v>203</v>
      </c>
      <c r="U24" s="5" t="n">
        <v>216</v>
      </c>
      <c r="V24" s="5" t="n">
        <v>258</v>
      </c>
      <c r="W24" s="2" t="s">
        <v>1414</v>
      </c>
    </row>
    <row r="25" customFormat="false" ht="15" hidden="false" customHeight="false" outlineLevel="0" collapsed="false">
      <c r="A25" s="1" t="s">
        <v>1427</v>
      </c>
      <c r="B25" s="5" t="n">
        <v>279</v>
      </c>
      <c r="C25" s="5" t="n">
        <v>371</v>
      </c>
      <c r="D25" s="5" t="n">
        <v>279</v>
      </c>
      <c r="E25" s="5" t="n">
        <v>371</v>
      </c>
      <c r="F25" s="5" t="n">
        <v>180</v>
      </c>
      <c r="G25" s="5" t="n">
        <v>371</v>
      </c>
      <c r="H25" s="5" t="n">
        <v>371</v>
      </c>
      <c r="I25" s="5" t="n">
        <v>111</v>
      </c>
      <c r="J25" s="5" t="n">
        <v>42</v>
      </c>
      <c r="K25" s="5" t="n">
        <v>31</v>
      </c>
      <c r="L25" s="5" t="n">
        <v>47</v>
      </c>
      <c r="M25" s="2" t="s">
        <v>1414</v>
      </c>
      <c r="N25" s="5" t="n">
        <v>14</v>
      </c>
      <c r="O25" s="5" t="n">
        <v>49</v>
      </c>
      <c r="P25" s="5" t="n">
        <v>63</v>
      </c>
      <c r="Q25" s="5" t="n">
        <v>86</v>
      </c>
      <c r="R25" s="5" t="n">
        <v>107</v>
      </c>
      <c r="S25" s="5" t="n">
        <v>137</v>
      </c>
      <c r="T25" s="5" t="n">
        <v>156</v>
      </c>
      <c r="U25" s="5" t="n">
        <v>169</v>
      </c>
      <c r="V25" s="5" t="n">
        <v>211</v>
      </c>
      <c r="W25" s="2" t="s">
        <v>1414</v>
      </c>
    </row>
    <row r="26" customFormat="false" ht="15" hidden="false" customHeight="false" outlineLevel="0" collapsed="false">
      <c r="A26" s="1" t="s">
        <v>1428</v>
      </c>
      <c r="B26" s="5" t="n">
        <v>293</v>
      </c>
      <c r="C26" s="5" t="n">
        <v>385</v>
      </c>
      <c r="D26" s="5" t="n">
        <v>293</v>
      </c>
      <c r="E26" s="5" t="n">
        <v>385</v>
      </c>
      <c r="F26" s="5" t="n">
        <v>194</v>
      </c>
      <c r="G26" s="5" t="n">
        <v>385</v>
      </c>
      <c r="H26" s="5" t="n">
        <v>385</v>
      </c>
      <c r="I26" s="5" t="n">
        <v>125</v>
      </c>
      <c r="J26" s="5" t="n">
        <v>56</v>
      </c>
      <c r="K26" s="5" t="n">
        <v>45</v>
      </c>
      <c r="L26" s="5" t="n">
        <v>61</v>
      </c>
      <c r="M26" s="5" t="n">
        <v>14</v>
      </c>
      <c r="N26" s="2" t="s">
        <v>1414</v>
      </c>
      <c r="O26" s="5" t="n">
        <v>35</v>
      </c>
      <c r="P26" s="5" t="n">
        <v>49</v>
      </c>
      <c r="Q26" s="5" t="n">
        <v>72</v>
      </c>
      <c r="R26" s="5" t="n">
        <v>93</v>
      </c>
      <c r="S26" s="5" t="n">
        <v>123</v>
      </c>
      <c r="T26" s="5" t="n">
        <v>142</v>
      </c>
      <c r="U26" s="5" t="n">
        <v>155</v>
      </c>
      <c r="V26" s="5" t="n">
        <v>197</v>
      </c>
      <c r="W26" s="2" t="s">
        <v>1414</v>
      </c>
    </row>
    <row r="27" customFormat="false" ht="15" hidden="false" customHeight="false" outlineLevel="0" collapsed="false">
      <c r="A27" s="1" t="s">
        <v>1429</v>
      </c>
      <c r="B27" s="5" t="n">
        <v>328</v>
      </c>
      <c r="C27" s="5" t="n">
        <v>420</v>
      </c>
      <c r="D27" s="5" t="n">
        <v>328</v>
      </c>
      <c r="E27" s="5" t="n">
        <v>420</v>
      </c>
      <c r="F27" s="5" t="n">
        <v>229</v>
      </c>
      <c r="G27" s="5" t="n">
        <v>420</v>
      </c>
      <c r="H27" s="5" t="n">
        <v>420</v>
      </c>
      <c r="I27" s="5" t="n">
        <v>160</v>
      </c>
      <c r="J27" s="5" t="n">
        <v>91</v>
      </c>
      <c r="K27" s="5" t="n">
        <v>80</v>
      </c>
      <c r="L27" s="5" t="n">
        <v>96</v>
      </c>
      <c r="M27" s="5" t="n">
        <v>49</v>
      </c>
      <c r="N27" s="5" t="n">
        <v>35</v>
      </c>
      <c r="O27" s="2" t="s">
        <v>1414</v>
      </c>
      <c r="P27" s="5" t="n">
        <v>14</v>
      </c>
      <c r="Q27" s="5" t="n">
        <v>37</v>
      </c>
      <c r="R27" s="5" t="n">
        <v>58</v>
      </c>
      <c r="S27" s="5" t="n">
        <v>88</v>
      </c>
      <c r="T27" s="5" t="n">
        <v>107</v>
      </c>
      <c r="U27" s="5" t="n">
        <v>120</v>
      </c>
      <c r="V27" s="5" t="n">
        <v>162</v>
      </c>
      <c r="W27" s="2" t="s">
        <v>1414</v>
      </c>
    </row>
    <row r="28" customFormat="false" ht="15" hidden="false" customHeight="false" outlineLevel="0" collapsed="false">
      <c r="A28" s="1" t="s">
        <v>1430</v>
      </c>
      <c r="B28" s="5" t="n">
        <v>342</v>
      </c>
      <c r="C28" s="5" t="n">
        <v>434</v>
      </c>
      <c r="D28" s="5" t="n">
        <v>342</v>
      </c>
      <c r="E28" s="5" t="n">
        <v>434</v>
      </c>
      <c r="F28" s="5" t="n">
        <v>243</v>
      </c>
      <c r="G28" s="5" t="n">
        <v>434</v>
      </c>
      <c r="H28" s="5" t="n">
        <v>434</v>
      </c>
      <c r="I28" s="5" t="n">
        <v>174</v>
      </c>
      <c r="J28" s="5" t="n">
        <v>105</v>
      </c>
      <c r="K28" s="5" t="n">
        <v>94</v>
      </c>
      <c r="L28" s="5" t="n">
        <v>110</v>
      </c>
      <c r="M28" s="5" t="n">
        <v>63</v>
      </c>
      <c r="N28" s="5" t="n">
        <v>49</v>
      </c>
      <c r="O28" s="5" t="n">
        <v>14</v>
      </c>
      <c r="P28" s="2" t="s">
        <v>1414</v>
      </c>
      <c r="Q28" s="5" t="n">
        <v>23</v>
      </c>
      <c r="R28" s="5" t="n">
        <v>44</v>
      </c>
      <c r="S28" s="5" t="n">
        <v>74</v>
      </c>
      <c r="T28" s="5" t="n">
        <v>93</v>
      </c>
      <c r="U28" s="5" t="n">
        <v>106</v>
      </c>
      <c r="V28" s="5" t="n">
        <v>148</v>
      </c>
      <c r="W28" s="2" t="s">
        <v>1414</v>
      </c>
    </row>
    <row r="29" customFormat="false" ht="15" hidden="false" customHeight="false" outlineLevel="0" collapsed="false">
      <c r="A29" s="1" t="s">
        <v>1431</v>
      </c>
      <c r="B29" s="5" t="n">
        <v>365</v>
      </c>
      <c r="C29" s="5" t="n">
        <v>457</v>
      </c>
      <c r="D29" s="5" t="n">
        <v>365</v>
      </c>
      <c r="E29" s="5" t="n">
        <v>457</v>
      </c>
      <c r="F29" s="5" t="n">
        <v>266</v>
      </c>
      <c r="G29" s="5" t="n">
        <v>457</v>
      </c>
      <c r="H29" s="5" t="n">
        <v>457</v>
      </c>
      <c r="I29" s="5" t="n">
        <v>197</v>
      </c>
      <c r="J29" s="5" t="n">
        <v>128</v>
      </c>
      <c r="K29" s="5" t="n">
        <v>117</v>
      </c>
      <c r="L29" s="5" t="n">
        <v>133</v>
      </c>
      <c r="M29" s="5" t="n">
        <v>86</v>
      </c>
      <c r="N29" s="5" t="n">
        <v>72</v>
      </c>
      <c r="O29" s="5" t="n">
        <v>37</v>
      </c>
      <c r="P29" s="5" t="n">
        <v>23</v>
      </c>
      <c r="Q29" s="2" t="s">
        <v>1414</v>
      </c>
      <c r="R29" s="5" t="n">
        <v>21</v>
      </c>
      <c r="S29" s="5" t="n">
        <v>51</v>
      </c>
      <c r="T29" s="5" t="n">
        <v>69</v>
      </c>
      <c r="U29" s="5" t="n">
        <v>83</v>
      </c>
      <c r="V29" s="5" t="n">
        <v>124</v>
      </c>
      <c r="W29" s="2" t="s">
        <v>1414</v>
      </c>
    </row>
    <row r="30" customFormat="false" ht="15" hidden="false" customHeight="false" outlineLevel="0" collapsed="false">
      <c r="A30" s="1" t="s">
        <v>1432</v>
      </c>
      <c r="B30" s="5" t="n">
        <v>386</v>
      </c>
      <c r="C30" s="5" t="n">
        <v>478</v>
      </c>
      <c r="D30" s="5" t="n">
        <v>386</v>
      </c>
      <c r="E30" s="5" t="n">
        <v>478</v>
      </c>
      <c r="F30" s="5" t="n">
        <v>287</v>
      </c>
      <c r="G30" s="5" t="n">
        <v>478</v>
      </c>
      <c r="H30" s="5" t="n">
        <v>478</v>
      </c>
      <c r="I30" s="5" t="n">
        <v>218</v>
      </c>
      <c r="J30" s="5" t="n">
        <v>149</v>
      </c>
      <c r="K30" s="5" t="n">
        <v>138</v>
      </c>
      <c r="L30" s="5" t="n">
        <v>154</v>
      </c>
      <c r="M30" s="5" t="n">
        <v>107</v>
      </c>
      <c r="N30" s="5" t="n">
        <v>93</v>
      </c>
      <c r="O30" s="5" t="n">
        <v>58</v>
      </c>
      <c r="P30" s="5" t="n">
        <v>44</v>
      </c>
      <c r="Q30" s="5" t="n">
        <v>21</v>
      </c>
      <c r="R30" s="2" t="s">
        <v>1414</v>
      </c>
      <c r="S30" s="5" t="n">
        <v>30</v>
      </c>
      <c r="T30" s="5" t="n">
        <v>49</v>
      </c>
      <c r="U30" s="5" t="n">
        <v>62</v>
      </c>
      <c r="V30" s="5" t="n">
        <v>104</v>
      </c>
      <c r="W30" s="2" t="s">
        <v>1414</v>
      </c>
    </row>
    <row r="31" customFormat="false" ht="15" hidden="false" customHeight="false" outlineLevel="0" collapsed="false">
      <c r="A31" s="1" t="s">
        <v>1433</v>
      </c>
      <c r="B31" s="5" t="n">
        <v>416</v>
      </c>
      <c r="C31" s="5" t="n">
        <v>508</v>
      </c>
      <c r="D31" s="5" t="n">
        <v>416</v>
      </c>
      <c r="E31" s="5" t="n">
        <v>508</v>
      </c>
      <c r="F31" s="5" t="n">
        <v>317</v>
      </c>
      <c r="G31" s="5" t="n">
        <v>508</v>
      </c>
      <c r="H31" s="5" t="n">
        <v>508</v>
      </c>
      <c r="I31" s="5" t="n">
        <v>248</v>
      </c>
      <c r="J31" s="5" t="n">
        <v>179</v>
      </c>
      <c r="K31" s="5" t="n">
        <v>168</v>
      </c>
      <c r="L31" s="5" t="n">
        <v>184</v>
      </c>
      <c r="M31" s="5" t="n">
        <v>137</v>
      </c>
      <c r="N31" s="5" t="n">
        <v>123</v>
      </c>
      <c r="O31" s="5" t="n">
        <v>88</v>
      </c>
      <c r="P31" s="5" t="n">
        <v>74</v>
      </c>
      <c r="Q31" s="5" t="n">
        <v>51</v>
      </c>
      <c r="R31" s="5" t="n">
        <v>30</v>
      </c>
      <c r="S31" s="2" t="s">
        <v>1414</v>
      </c>
      <c r="T31" s="5" t="n">
        <v>19</v>
      </c>
      <c r="U31" s="5" t="n">
        <v>32</v>
      </c>
      <c r="V31" s="5" t="n">
        <v>74</v>
      </c>
      <c r="W31" s="2" t="s">
        <v>1414</v>
      </c>
    </row>
    <row r="32" customFormat="false" ht="15" hidden="false" customHeight="false" outlineLevel="0" collapsed="false">
      <c r="A32" s="1" t="s">
        <v>1434</v>
      </c>
      <c r="B32" s="5" t="n">
        <v>435</v>
      </c>
      <c r="C32" s="5" t="n">
        <v>527</v>
      </c>
      <c r="D32" s="5" t="n">
        <v>435</v>
      </c>
      <c r="E32" s="5" t="n">
        <v>527</v>
      </c>
      <c r="F32" s="5" t="n">
        <v>336</v>
      </c>
      <c r="G32" s="5" t="n">
        <v>527</v>
      </c>
      <c r="H32" s="5" t="n">
        <v>527</v>
      </c>
      <c r="I32" s="5" t="n">
        <v>267</v>
      </c>
      <c r="J32" s="5" t="n">
        <v>198</v>
      </c>
      <c r="K32" s="5" t="n">
        <v>187</v>
      </c>
      <c r="L32" s="5" t="n">
        <v>203</v>
      </c>
      <c r="M32" s="5" t="n">
        <v>156</v>
      </c>
      <c r="N32" s="5" t="n">
        <v>142</v>
      </c>
      <c r="O32" s="5" t="n">
        <v>107</v>
      </c>
      <c r="P32" s="5" t="n">
        <v>93</v>
      </c>
      <c r="Q32" s="5" t="n">
        <v>69</v>
      </c>
      <c r="R32" s="5" t="n">
        <v>49</v>
      </c>
      <c r="S32" s="5" t="n">
        <v>19</v>
      </c>
      <c r="T32" s="2" t="s">
        <v>1414</v>
      </c>
      <c r="U32" s="5" t="n">
        <v>13</v>
      </c>
      <c r="V32" s="5" t="n">
        <v>55</v>
      </c>
      <c r="W32" s="2" t="s">
        <v>1414</v>
      </c>
    </row>
    <row r="33" customFormat="false" ht="15" hidden="false" customHeight="false" outlineLevel="0" collapsed="false">
      <c r="A33" s="1" t="s">
        <v>1435</v>
      </c>
      <c r="B33" s="5" t="n">
        <v>448</v>
      </c>
      <c r="C33" s="5" t="n">
        <v>540</v>
      </c>
      <c r="D33" s="5" t="n">
        <v>448</v>
      </c>
      <c r="E33" s="5" t="n">
        <v>540</v>
      </c>
      <c r="F33" s="5" t="n">
        <v>349</v>
      </c>
      <c r="G33" s="5" t="n">
        <v>540</v>
      </c>
      <c r="H33" s="5" t="n">
        <v>540</v>
      </c>
      <c r="I33" s="5" t="n">
        <v>280</v>
      </c>
      <c r="J33" s="5" t="n">
        <v>211</v>
      </c>
      <c r="K33" s="5" t="n">
        <v>200</v>
      </c>
      <c r="L33" s="5" t="n">
        <v>216</v>
      </c>
      <c r="M33" s="5" t="n">
        <v>169</v>
      </c>
      <c r="N33" s="5" t="n">
        <v>155</v>
      </c>
      <c r="O33" s="5" t="n">
        <v>120</v>
      </c>
      <c r="P33" s="5" t="n">
        <v>106</v>
      </c>
      <c r="Q33" s="5" t="n">
        <v>83</v>
      </c>
      <c r="R33" s="5" t="n">
        <v>62</v>
      </c>
      <c r="S33" s="5" t="n">
        <v>32</v>
      </c>
      <c r="T33" s="5" t="n">
        <v>13</v>
      </c>
      <c r="U33" s="2" t="s">
        <v>1414</v>
      </c>
      <c r="V33" s="5" t="n">
        <v>42</v>
      </c>
      <c r="W33" s="2" t="s">
        <v>1414</v>
      </c>
    </row>
    <row r="34" customFormat="false" ht="15" hidden="false" customHeight="false" outlineLevel="0" collapsed="false">
      <c r="A34" s="1" t="s">
        <v>1436</v>
      </c>
      <c r="B34" s="5" t="n">
        <v>490</v>
      </c>
      <c r="C34" s="5" t="n">
        <v>582</v>
      </c>
      <c r="D34" s="5" t="n">
        <v>490</v>
      </c>
      <c r="E34" s="5" t="n">
        <v>582</v>
      </c>
      <c r="F34" s="5" t="n">
        <v>391</v>
      </c>
      <c r="G34" s="5" t="n">
        <v>582</v>
      </c>
      <c r="H34" s="5" t="n">
        <v>582</v>
      </c>
      <c r="I34" s="5" t="n">
        <v>322</v>
      </c>
      <c r="J34" s="5" t="n">
        <v>253</v>
      </c>
      <c r="K34" s="5" t="n">
        <v>242</v>
      </c>
      <c r="L34" s="5" t="n">
        <v>258</v>
      </c>
      <c r="M34" s="5" t="n">
        <v>211</v>
      </c>
      <c r="N34" s="5" t="n">
        <v>197</v>
      </c>
      <c r="O34" s="5" t="n">
        <v>162</v>
      </c>
      <c r="P34" s="5" t="n">
        <v>148</v>
      </c>
      <c r="Q34" s="5" t="n">
        <v>124</v>
      </c>
      <c r="R34" s="5" t="n">
        <v>104</v>
      </c>
      <c r="S34" s="5" t="n">
        <v>74</v>
      </c>
      <c r="T34" s="5" t="n">
        <v>55</v>
      </c>
      <c r="U34" s="5" t="n">
        <v>42</v>
      </c>
      <c r="V34" s="2" t="s">
        <v>1414</v>
      </c>
      <c r="W34" s="2" t="s">
        <v>1414</v>
      </c>
    </row>
    <row r="35" customFormat="false" ht="15" hidden="false" customHeight="false" outlineLevel="0" collapsed="false">
      <c r="A35" s="1" t="s">
        <v>1437</v>
      </c>
      <c r="B35" s="5" t="n">
        <v>98</v>
      </c>
      <c r="C35" s="2" t="s">
        <v>1414</v>
      </c>
      <c r="D35" s="2" t="s">
        <v>1414</v>
      </c>
      <c r="E35" s="2" t="s">
        <v>1414</v>
      </c>
      <c r="F35" s="2" t="s">
        <v>1414</v>
      </c>
      <c r="G35" s="2" t="s">
        <v>1414</v>
      </c>
      <c r="H35" s="2" t="s">
        <v>1414</v>
      </c>
      <c r="I35" s="2" t="s">
        <v>1414</v>
      </c>
      <c r="J35" s="2" t="s">
        <v>1414</v>
      </c>
      <c r="K35" s="2" t="s">
        <v>1414</v>
      </c>
      <c r="L35" s="2" t="s">
        <v>1414</v>
      </c>
      <c r="M35" s="2" t="s">
        <v>1414</v>
      </c>
      <c r="N35" s="2" t="s">
        <v>1414</v>
      </c>
      <c r="O35" s="2" t="s">
        <v>1414</v>
      </c>
      <c r="P35" s="2" t="s">
        <v>1414</v>
      </c>
      <c r="Q35" s="2" t="s">
        <v>1414</v>
      </c>
      <c r="R35" s="2" t="s">
        <v>1414</v>
      </c>
      <c r="S35" s="2" t="s">
        <v>1414</v>
      </c>
      <c r="T35" s="2" t="s">
        <v>1414</v>
      </c>
      <c r="U35" s="2" t="s">
        <v>1414</v>
      </c>
      <c r="V35" s="2" t="s">
        <v>1414</v>
      </c>
      <c r="W35" s="2" t="s">
        <v>1414</v>
      </c>
    </row>
    <row r="36" customFormat="false" ht="15" hidden="false" customHeight="false" outlineLevel="0" collapsed="false">
      <c r="A36" s="1" t="s">
        <v>1439</v>
      </c>
      <c r="B36" s="2" t="s">
        <v>1414</v>
      </c>
      <c r="C36" s="2" t="s">
        <v>1414</v>
      </c>
      <c r="D36" s="2" t="s">
        <v>1414</v>
      </c>
      <c r="E36" s="2" t="s">
        <v>1414</v>
      </c>
      <c r="F36" s="5" t="n">
        <v>145</v>
      </c>
      <c r="G36" s="2" t="s">
        <v>1414</v>
      </c>
      <c r="H36" s="2" t="s">
        <v>1438</v>
      </c>
      <c r="I36" s="5" t="n">
        <v>237</v>
      </c>
      <c r="J36" s="5" t="n">
        <v>329</v>
      </c>
      <c r="K36" s="2" t="s">
        <v>1414</v>
      </c>
      <c r="L36" s="5" t="n">
        <v>418</v>
      </c>
      <c r="M36" s="5" t="n">
        <v>371</v>
      </c>
      <c r="N36" s="5" t="n">
        <v>385</v>
      </c>
      <c r="O36" s="5" t="n">
        <v>420</v>
      </c>
      <c r="P36" s="5" t="n">
        <v>434</v>
      </c>
      <c r="Q36" s="5" t="n">
        <v>457</v>
      </c>
      <c r="R36" s="5" t="n">
        <v>478</v>
      </c>
      <c r="S36" s="5" t="n">
        <v>508</v>
      </c>
      <c r="T36" s="5" t="n">
        <v>527</v>
      </c>
      <c r="U36" s="5" t="n">
        <v>540</v>
      </c>
      <c r="V36" s="5" t="n">
        <v>582</v>
      </c>
      <c r="W36" s="2" t="s">
        <v>1414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24"/>
    <col collapsed="false" customWidth="true" hidden="false" outlineLevel="0" max="4" min="4" style="0" width="14"/>
    <col collapsed="false" customWidth="true" hidden="false" outlineLevel="0" max="6" min="5" style="0" width="16"/>
    <col collapsed="false" customWidth="true" hidden="false" outlineLevel="0" max="7" min="7" style="0" width="14"/>
    <col collapsed="false" customWidth="true" hidden="false" outlineLevel="0" max="8" min="8" style="0" width="60"/>
  </cols>
  <sheetData>
    <row r="1" customFormat="false" ht="15" hidden="false" customHeight="false" outlineLevel="0" collapsed="false">
      <c r="A1" s="1" t="s">
        <v>1440</v>
      </c>
    </row>
    <row r="3" customFormat="false" ht="15" hidden="false" customHeight="false" outlineLevel="0" collapsed="false">
      <c r="A3" s="1" t="s">
        <v>1441</v>
      </c>
      <c r="B3" s="1" t="s">
        <v>1442</v>
      </c>
      <c r="C3" s="1" t="s">
        <v>1443</v>
      </c>
      <c r="D3" s="1" t="s">
        <v>1444</v>
      </c>
      <c r="F3" s="1" t="s">
        <v>1445</v>
      </c>
    </row>
    <row r="4" customFormat="false" ht="15" hidden="false" customHeight="false" outlineLevel="0" collapsed="false">
      <c r="A4" s="2" t="n">
        <v>1</v>
      </c>
      <c r="B4" s="2" t="s">
        <v>89</v>
      </c>
      <c r="C4" s="2" t="s">
        <v>1446</v>
      </c>
      <c r="D4" s="2" t="s">
        <v>1447</v>
      </c>
      <c r="F4" s="2" t="n">
        <f aca="false">INDEX($B$13:$G$18,1,A4)</f>
        <v>0</v>
      </c>
    </row>
    <row r="5" customFormat="false" ht="15" hidden="false" customHeight="false" outlineLevel="0" collapsed="false">
      <c r="A5" s="2" t="n">
        <v>2</v>
      </c>
      <c r="B5" s="2" t="s">
        <v>90</v>
      </c>
      <c r="C5" s="2" t="s">
        <v>1396</v>
      </c>
      <c r="D5" s="2" t="s">
        <v>1448</v>
      </c>
      <c r="F5" s="2" t="n">
        <f aca="false">INDEX($B$13:$G$18,1,A5)</f>
        <v>110</v>
      </c>
    </row>
    <row r="6" customFormat="false" ht="15" hidden="false" customHeight="false" outlineLevel="0" collapsed="false">
      <c r="A6" s="2" t="n">
        <v>3</v>
      </c>
      <c r="B6" s="2" t="s">
        <v>91</v>
      </c>
      <c r="C6" s="2" t="s">
        <v>1449</v>
      </c>
      <c r="D6" s="2" t="s">
        <v>1450</v>
      </c>
      <c r="F6" s="2" t="n">
        <f aca="false">INDEX($B$13:$G$18,1,A6)</f>
        <v>90</v>
      </c>
    </row>
    <row r="7" customFormat="false" ht="15" hidden="false" customHeight="false" outlineLevel="0" collapsed="false">
      <c r="A7" s="2" t="n">
        <v>4</v>
      </c>
      <c r="B7" s="2" t="s">
        <v>92</v>
      </c>
      <c r="C7" s="2" t="s">
        <v>1451</v>
      </c>
      <c r="D7" s="2" t="s">
        <v>1452</v>
      </c>
      <c r="F7" s="2" t="n">
        <f aca="false">INDEX($B$13:$G$18,1,A7)</f>
        <v>70</v>
      </c>
    </row>
    <row r="8" customFormat="false" ht="15" hidden="false" customHeight="false" outlineLevel="0" collapsed="false">
      <c r="A8" s="2" t="n">
        <v>5</v>
      </c>
      <c r="B8" s="2" t="s">
        <v>93</v>
      </c>
      <c r="C8" s="2" t="s">
        <v>1387</v>
      </c>
      <c r="D8" s="2" t="s">
        <v>1453</v>
      </c>
      <c r="F8" s="2" t="n">
        <f aca="false">INDEX($B$13:$G$18,1,A8)</f>
        <v>55</v>
      </c>
    </row>
    <row r="9" customFormat="false" ht="15" hidden="false" customHeight="false" outlineLevel="0" collapsed="false">
      <c r="A9" s="2" t="n">
        <v>6</v>
      </c>
      <c r="B9" s="2" t="s">
        <v>94</v>
      </c>
      <c r="C9" s="2" t="s">
        <v>1454</v>
      </c>
      <c r="D9" s="2" t="s">
        <v>1447</v>
      </c>
      <c r="F9" s="2" t="n">
        <f aca="false">INDEX($B$13:$G$18,1,A9)</f>
        <v>10</v>
      </c>
    </row>
    <row r="11" customFormat="false" ht="15" hidden="false" customHeight="false" outlineLevel="0" collapsed="false">
      <c r="A11" s="1" t="s">
        <v>1455</v>
      </c>
    </row>
    <row r="12" customFormat="false" ht="15" hidden="false" customHeight="false" outlineLevel="0" collapsed="false">
      <c r="B12" s="1" t="s">
        <v>89</v>
      </c>
      <c r="C12" s="1" t="s">
        <v>90</v>
      </c>
      <c r="D12" s="1" t="s">
        <v>91</v>
      </c>
      <c r="E12" s="1" t="s">
        <v>92</v>
      </c>
      <c r="F12" s="1" t="s">
        <v>93</v>
      </c>
      <c r="G12" s="1" t="s">
        <v>94</v>
      </c>
    </row>
    <row r="13" customFormat="false" ht="15" hidden="false" customHeight="false" outlineLevel="0" collapsed="false">
      <c r="A13" s="1" t="s">
        <v>89</v>
      </c>
      <c r="B13" s="2" t="n">
        <v>0</v>
      </c>
      <c r="C13" s="2" t="n">
        <v>110</v>
      </c>
      <c r="D13" s="2" t="n">
        <v>90</v>
      </c>
      <c r="E13" s="2" t="n">
        <v>70</v>
      </c>
      <c r="F13" s="2" t="n">
        <v>55</v>
      </c>
      <c r="G13" s="2" t="n">
        <v>10</v>
      </c>
    </row>
    <row r="14" customFormat="false" ht="15" hidden="false" customHeight="false" outlineLevel="0" collapsed="false">
      <c r="A14" s="1" t="s">
        <v>90</v>
      </c>
      <c r="B14" s="2" t="n">
        <v>110</v>
      </c>
      <c r="C14" s="2" t="n">
        <v>0</v>
      </c>
      <c r="D14" s="2" t="n">
        <v>22</v>
      </c>
      <c r="E14" s="2" t="n">
        <v>40</v>
      </c>
      <c r="F14" s="2" t="n">
        <v>60</v>
      </c>
      <c r="G14" s="2" t="n">
        <v>115</v>
      </c>
    </row>
    <row r="15" customFormat="false" ht="15" hidden="false" customHeight="false" outlineLevel="0" collapsed="false">
      <c r="A15" s="1" t="s">
        <v>91</v>
      </c>
      <c r="B15" s="2" t="n">
        <v>90</v>
      </c>
      <c r="C15" s="2" t="n">
        <v>22</v>
      </c>
      <c r="D15" s="2" t="n">
        <v>0</v>
      </c>
      <c r="E15" s="2" t="n">
        <v>18</v>
      </c>
      <c r="F15" s="2" t="n">
        <v>35</v>
      </c>
      <c r="G15" s="2" t="n">
        <v>90</v>
      </c>
    </row>
    <row r="16" customFormat="false" ht="15" hidden="false" customHeight="false" outlineLevel="0" collapsed="false">
      <c r="A16" s="1" t="s">
        <v>92</v>
      </c>
      <c r="B16" s="2" t="n">
        <v>70</v>
      </c>
      <c r="C16" s="2" t="n">
        <v>40</v>
      </c>
      <c r="D16" s="2" t="n">
        <v>18</v>
      </c>
      <c r="E16" s="2" t="n">
        <v>0</v>
      </c>
      <c r="F16" s="2" t="n">
        <v>20</v>
      </c>
      <c r="G16" s="2" t="n">
        <v>70</v>
      </c>
    </row>
    <row r="17" customFormat="false" ht="15" hidden="false" customHeight="false" outlineLevel="0" collapsed="false">
      <c r="A17" s="1" t="s">
        <v>93</v>
      </c>
      <c r="B17" s="2" t="n">
        <v>55</v>
      </c>
      <c r="C17" s="2" t="n">
        <v>60</v>
      </c>
      <c r="D17" s="2" t="n">
        <v>35</v>
      </c>
      <c r="E17" s="2" t="n">
        <v>20</v>
      </c>
      <c r="F17" s="2" t="n">
        <v>0</v>
      </c>
      <c r="G17" s="2" t="n">
        <v>55</v>
      </c>
    </row>
    <row r="18" customFormat="false" ht="15" hidden="false" customHeight="false" outlineLevel="0" collapsed="false">
      <c r="A18" s="1" t="s">
        <v>94</v>
      </c>
      <c r="B18" s="2" t="n">
        <v>10</v>
      </c>
      <c r="C18" s="2" t="n">
        <v>115</v>
      </c>
      <c r="D18" s="2" t="n">
        <v>90</v>
      </c>
      <c r="E18" s="2" t="n">
        <v>70</v>
      </c>
      <c r="F18" s="2" t="n">
        <v>55</v>
      </c>
      <c r="G18" s="2" t="n">
        <v>0</v>
      </c>
    </row>
    <row r="20" customFormat="false" ht="15" hidden="false" customHeight="false" outlineLevel="0" collapsed="false">
      <c r="A20" s="1" t="s">
        <v>1456</v>
      </c>
    </row>
    <row r="21" customFormat="false" ht="15" hidden="false" customHeight="false" outlineLevel="0" collapsed="false">
      <c r="B21" s="1" t="s">
        <v>89</v>
      </c>
      <c r="C21" s="1" t="s">
        <v>90</v>
      </c>
      <c r="D21" s="1" t="s">
        <v>91</v>
      </c>
      <c r="E21" s="1" t="s">
        <v>92</v>
      </c>
      <c r="F21" s="1" t="s">
        <v>93</v>
      </c>
      <c r="G21" s="1" t="s">
        <v>94</v>
      </c>
    </row>
    <row r="22" customFormat="false" ht="15" hidden="false" customHeight="false" outlineLevel="0" collapsed="false">
      <c r="A22" s="1" t="s">
        <v>89</v>
      </c>
      <c r="B22" s="5" t="n">
        <v>0</v>
      </c>
      <c r="C22" s="5" t="n">
        <f aca="false">TOLL!V15+TOLL!B10</f>
        <v>1110</v>
      </c>
      <c r="D22" s="5" t="n">
        <f aca="false">TOLL!V15</f>
        <v>582</v>
      </c>
      <c r="E22" s="5" t="n">
        <f aca="false">TOLL!V22</f>
        <v>253</v>
      </c>
      <c r="F22" s="5" t="n">
        <f aca="false">TOLL!V30</f>
        <v>104</v>
      </c>
      <c r="G22" s="5" t="n">
        <v>0</v>
      </c>
    </row>
    <row r="23" customFormat="false" ht="15" hidden="false" customHeight="false" outlineLevel="0" collapsed="false">
      <c r="A23" s="1" t="s">
        <v>90</v>
      </c>
      <c r="B23" s="5" t="n">
        <f aca="false">TOLL!B10+TOLL!C34</f>
        <v>1110</v>
      </c>
      <c r="C23" s="5" t="n">
        <v>0</v>
      </c>
      <c r="D23" s="5" t="n">
        <f aca="false">TOLL!B10</f>
        <v>528</v>
      </c>
      <c r="E23" s="5" t="n">
        <f aca="false">TOLL!B10+TOLL!C22</f>
        <v>857</v>
      </c>
      <c r="F23" s="5" t="n">
        <f aca="false">TOLL!B10+TOLL!C30</f>
        <v>1006</v>
      </c>
      <c r="G23" s="5" t="n">
        <f aca="false">TOLL!B10+TOLL!C34</f>
        <v>1110</v>
      </c>
    </row>
    <row r="24" customFormat="false" ht="15" hidden="false" customHeight="false" outlineLevel="0" collapsed="false">
      <c r="A24" s="1" t="s">
        <v>91</v>
      </c>
      <c r="B24" s="5" t="n">
        <f aca="false">TOLL!C34</f>
        <v>582</v>
      </c>
      <c r="C24" s="5" t="n">
        <f aca="false">TOLL!B10</f>
        <v>528</v>
      </c>
      <c r="D24" s="5" t="n">
        <v>0</v>
      </c>
      <c r="E24" s="5" t="n">
        <f aca="false">TOLL!C22</f>
        <v>329</v>
      </c>
      <c r="F24" s="5" t="n">
        <f aca="false">TOLL!C30</f>
        <v>478</v>
      </c>
      <c r="G24" s="5" t="n">
        <f aca="false">TOLL!C34</f>
        <v>582</v>
      </c>
    </row>
    <row r="25" customFormat="false" ht="15" hidden="false" customHeight="false" outlineLevel="0" collapsed="false">
      <c r="A25" s="1" t="s">
        <v>92</v>
      </c>
      <c r="B25" s="5" t="n">
        <f aca="false">TOLL!J34</f>
        <v>253</v>
      </c>
      <c r="C25" s="5" t="n">
        <f aca="false">TOLL!J15+TOLL!B10</f>
        <v>857</v>
      </c>
      <c r="D25" s="5" t="n">
        <f aca="false">TOLL!J15</f>
        <v>329</v>
      </c>
      <c r="E25" s="5" t="n">
        <v>0</v>
      </c>
      <c r="F25" s="5" t="n">
        <f aca="false">TOLL!J30</f>
        <v>149</v>
      </c>
      <c r="G25" s="5" t="n">
        <f aca="false">TOLL!J34</f>
        <v>253</v>
      </c>
    </row>
    <row r="26" customFormat="false" ht="15" hidden="false" customHeight="false" outlineLevel="0" collapsed="false">
      <c r="A26" s="1" t="s">
        <v>93</v>
      </c>
      <c r="B26" s="5" t="n">
        <f aca="false">TOLL!R34</f>
        <v>104</v>
      </c>
      <c r="C26" s="5" t="n">
        <f aca="false">TOLL!R15+TOLL!B10</f>
        <v>1006</v>
      </c>
      <c r="D26" s="5" t="n">
        <f aca="false">TOLL!R15</f>
        <v>478</v>
      </c>
      <c r="E26" s="5" t="n">
        <f aca="false">TOLL!R22</f>
        <v>149</v>
      </c>
      <c r="F26" s="5" t="n">
        <v>0</v>
      </c>
      <c r="G26" s="5" t="n">
        <f aca="false">TOLL!R34</f>
        <v>104</v>
      </c>
    </row>
    <row r="27" customFormat="false" ht="15" hidden="false" customHeight="false" outlineLevel="0" collapsed="false">
      <c r="A27" s="1" t="s">
        <v>94</v>
      </c>
      <c r="B27" s="5" t="n">
        <v>0</v>
      </c>
      <c r="C27" s="5" t="n">
        <f aca="false">TOLL!V15+TOLL!B10</f>
        <v>1110</v>
      </c>
      <c r="D27" s="5" t="n">
        <f aca="false">TOLL!V15</f>
        <v>582</v>
      </c>
      <c r="E27" s="5" t="n">
        <f aca="false">TOLL!V22</f>
        <v>253</v>
      </c>
      <c r="F27" s="5" t="n">
        <f aca="false">TOLL!V30</f>
        <v>104</v>
      </c>
      <c r="G27" s="5" t="n">
        <v>0</v>
      </c>
    </row>
    <row r="28" customFormat="false" ht="15" hidden="false" customHeight="false" outlineLevel="0" collapsed="false">
      <c r="A28" s="2" t="s">
        <v>1457</v>
      </c>
    </row>
    <row r="29" customFormat="false" ht="15" hidden="false" customHeight="false" outlineLevel="0" collapsed="false">
      <c r="A29" s="1" t="s">
        <v>1458</v>
      </c>
    </row>
    <row r="30" customFormat="false" ht="15" hidden="false" customHeight="false" outlineLevel="0" collapsed="false">
      <c r="A30" s="1" t="s">
        <v>1459</v>
      </c>
      <c r="B30" s="1" t="s">
        <v>83</v>
      </c>
      <c r="C30" s="1" t="s">
        <v>84</v>
      </c>
      <c r="D30" s="1" t="s">
        <v>85</v>
      </c>
      <c r="E30" s="1" t="s">
        <v>1460</v>
      </c>
      <c r="F30" s="1" t="s">
        <v>87</v>
      </c>
      <c r="G30" s="1" t="s">
        <v>88</v>
      </c>
      <c r="H30" s="1" t="s">
        <v>1370</v>
      </c>
    </row>
    <row r="31" customFormat="false" ht="15" hidden="false" customHeight="false" outlineLevel="0" collapsed="false">
      <c r="A31" s="2" t="n">
        <v>1</v>
      </c>
      <c r="B31" s="2" t="s">
        <v>89</v>
      </c>
      <c r="C31" s="2" t="n">
        <v>1</v>
      </c>
      <c r="D31" s="2" t="s">
        <v>12</v>
      </c>
      <c r="E31" s="2" t="n">
        <f aca="false">C31</f>
        <v>1</v>
      </c>
      <c r="F31" s="2" t="n">
        <v>0</v>
      </c>
      <c r="G31" s="5" t="n">
        <v>0</v>
      </c>
      <c r="H31" s="2" t="s">
        <v>1461</v>
      </c>
    </row>
    <row r="32" customFormat="false" ht="15" hidden="false" customHeight="false" outlineLevel="0" collapsed="false">
      <c r="A32" s="2" t="n">
        <v>2</v>
      </c>
      <c r="B32" s="2" t="s">
        <v>90</v>
      </c>
      <c r="C32" s="2" t="n">
        <v>2</v>
      </c>
      <c r="D32" s="2" t="str">
        <f aca="false">IF(AND(INDEX(SUPPLIERS!$F$3:$F$30,MATCH(B32,SUPPLIERS!$A$3:$A$30,0))&lt;&gt;"Yes",SUMPRODUCT(('REF BASKET'!$B$4:$B$29=B32)*('REF BASKET'!$D$4:$D$29&gt;0))&gt;0),"Yes","No")</f>
        <v>Yes</v>
      </c>
      <c r="E32" s="2" t="n">
        <f aca="false">IF(D32="Yes",C32,E31)</f>
        <v>2</v>
      </c>
      <c r="F32" s="2" t="n">
        <f aca="false">IF(D32="Yes",INDEX($B$13:$G$18,E31,C32),0)</f>
        <v>110</v>
      </c>
      <c r="G32" s="5" t="n">
        <f aca="false">IF(D32="Yes",INDEX($B$22:$G$27,E31,C32),0)</f>
        <v>1110</v>
      </c>
      <c r="H32" s="2" t="s">
        <v>1462</v>
      </c>
    </row>
    <row r="33" customFormat="false" ht="15" hidden="false" customHeight="false" outlineLevel="0" collapsed="false">
      <c r="A33" s="2" t="n">
        <v>3</v>
      </c>
      <c r="B33" s="2" t="s">
        <v>91</v>
      </c>
      <c r="C33" s="2" t="n">
        <v>3</v>
      </c>
      <c r="D33" s="2" t="str">
        <f aca="false">IF(AND(INDEX(SUPPLIERS!$F$3:$F$30,MATCH(B33,SUPPLIERS!$A$3:$A$30,0))&lt;&gt;"Yes",SUMPRODUCT(('REF BASKET'!$B$4:$B$29=B33)*('REF BASKET'!$D$4:$D$29&gt;0))&gt;0),"Yes","No")</f>
        <v>Yes</v>
      </c>
      <c r="E33" s="2" t="n">
        <f aca="false">IF(D33="Yes",C33,E32)</f>
        <v>3</v>
      </c>
      <c r="F33" s="2" t="n">
        <f aca="false">IF(D33="Yes",INDEX($B$13:$G$18,E32,C33),0)</f>
        <v>22</v>
      </c>
      <c r="G33" s="5" t="n">
        <f aca="false">IF(D33="Yes",INDEX($B$22:$G$27,E32,C33),0)</f>
        <v>528</v>
      </c>
      <c r="H33" s="2" t="s">
        <v>1462</v>
      </c>
    </row>
    <row r="34" customFormat="false" ht="15" hidden="false" customHeight="false" outlineLevel="0" collapsed="false">
      <c r="A34" s="2" t="n">
        <v>4</v>
      </c>
      <c r="B34" s="2" t="s">
        <v>92</v>
      </c>
      <c r="C34" s="2" t="n">
        <v>4</v>
      </c>
      <c r="D34" s="2" t="str">
        <f aca="false">IF(AND(INDEX(SUPPLIERS!$F$3:$F$30,MATCH(B34,SUPPLIERS!$A$3:$A$30,0))&lt;&gt;"Yes",SUMPRODUCT(('REF BASKET'!$B$4:$B$29=B34)*('REF BASKET'!$D$4:$D$29&gt;0))&gt;0),"Yes","No")</f>
        <v>Yes</v>
      </c>
      <c r="E34" s="2" t="n">
        <f aca="false">IF(D34="Yes",C34,E33)</f>
        <v>4</v>
      </c>
      <c r="F34" s="2" t="n">
        <f aca="false">IF(D34="Yes",INDEX($B$13:$G$18,E33,C34),0)</f>
        <v>18</v>
      </c>
      <c r="G34" s="5" t="n">
        <f aca="false">IF(D34="Yes",INDEX($B$22:$G$27,E33,C34),0)</f>
        <v>329</v>
      </c>
      <c r="H34" s="2" t="s">
        <v>1462</v>
      </c>
    </row>
    <row r="35" customFormat="false" ht="15" hidden="false" customHeight="false" outlineLevel="0" collapsed="false">
      <c r="A35" s="2" t="n">
        <v>5</v>
      </c>
      <c r="B35" s="2" t="s">
        <v>93</v>
      </c>
      <c r="C35" s="2" t="n">
        <v>5</v>
      </c>
      <c r="D35" s="2" t="str">
        <f aca="false">IF(AND(INDEX(SUPPLIERS!$F$3:$F$30,MATCH(B35,SUPPLIERS!$A$3:$A$30,0))&lt;&gt;"Yes",SUMPRODUCT(('REF BASKET'!$B$4:$B$29=B35)*('REF BASKET'!$D$4:$D$29&gt;0))&gt;0),"Yes","No")</f>
        <v>Yes</v>
      </c>
      <c r="E35" s="2" t="n">
        <f aca="false">IF(D35="Yes",C35,E34)</f>
        <v>5</v>
      </c>
      <c r="F35" s="2" t="n">
        <f aca="false">IF(D35="Yes",INDEX($B$13:$G$18,E34,C35),0)</f>
        <v>20</v>
      </c>
      <c r="G35" s="5" t="n">
        <f aca="false">IF(D35="Yes",INDEX($B$22:$G$27,E34,C35),0)</f>
        <v>149</v>
      </c>
      <c r="H35" s="2" t="s">
        <v>1462</v>
      </c>
    </row>
    <row r="36" customFormat="false" ht="15" hidden="false" customHeight="false" outlineLevel="0" collapsed="false">
      <c r="A36" s="2" t="n">
        <v>6</v>
      </c>
      <c r="B36" s="2" t="s">
        <v>94</v>
      </c>
      <c r="C36" s="2" t="n">
        <v>6</v>
      </c>
      <c r="D36" s="2" t="s">
        <v>12</v>
      </c>
      <c r="E36" s="2" t="n">
        <f aca="false">IF(D36="Yes",C36,E35)</f>
        <v>6</v>
      </c>
      <c r="F36" s="2" t="n">
        <f aca="false">IF(D36="Yes",INDEX($B$13:$G$18,E35,C36),0)</f>
        <v>55</v>
      </c>
      <c r="G36" s="5" t="n">
        <f aca="false">IF(D36="Yes",INDEX($B$22:$G$27,E35,C36),0)</f>
        <v>104</v>
      </c>
      <c r="H36" s="2" t="s">
        <v>1463</v>
      </c>
    </row>
    <row r="37" customFormat="false" ht="15" hidden="false" customHeight="false" outlineLevel="0" collapsed="false">
      <c r="A37" s="2" t="n">
        <v>7</v>
      </c>
      <c r="B37" s="2" t="s">
        <v>89</v>
      </c>
      <c r="C37" s="2" t="n">
        <v>1</v>
      </c>
      <c r="D37" s="2" t="s">
        <v>12</v>
      </c>
      <c r="E37" s="2" t="n">
        <f aca="false">IF(D37="Yes",C37,E36)</f>
        <v>1</v>
      </c>
      <c r="F37" s="2" t="n">
        <f aca="false">IF(D37="Yes",INDEX($B$13:$G$18,E36,C37),0)</f>
        <v>10</v>
      </c>
      <c r="G37" s="5" t="n">
        <f aca="false">IF(D37="Yes",INDEX($B$22:$G$27,E36,C37),0)</f>
        <v>0</v>
      </c>
      <c r="H37" s="2" t="s">
        <v>1464</v>
      </c>
    </row>
    <row r="38" customFormat="false" ht="15" hidden="false" customHeight="false" outlineLevel="0" collapsed="false">
      <c r="A38" s="1" t="s">
        <v>1465</v>
      </c>
      <c r="F38" s="2" t="n">
        <f aca="false">SUM(F31:F37)</f>
        <v>235</v>
      </c>
      <c r="G38" s="5" t="n">
        <f aca="false">SUM(G31:G37)</f>
        <v>2220</v>
      </c>
    </row>
    <row r="40" customFormat="false" ht="15" hidden="false" customHeight="false" outlineLevel="0" collapsed="false">
      <c r="A40" s="1" t="s">
        <v>1340</v>
      </c>
      <c r="B40" s="2" t="str">
        <f aca="false">"Pila"&amp;IF(D32="Yes"," &gt; IAN Solar (Caloocan)","")&amp;IF(D33="Yes"," &gt; Felicity (Makati)","")&amp;IF(D34="Yes"," &gt; One Point (Alabang)","")&amp;IF(D35="Yes"," &gt; Blue Carbon (Santa Rosa)","")&amp;" &gt; Pila-area site &gt; Pila"</f>
        <v>Pila &gt; IAN Solar (Caloocan) &gt; Felicity (Makati) &gt; One Point (Alabang) &gt; Blue Carbon (Santa Rosa) &gt; Pila-area site &gt; Pila</v>
      </c>
    </row>
    <row r="42" customFormat="false" ht="15" hidden="false" customHeight="false" outlineLevel="0" collapsed="false">
      <c r="A42" s="2" t="s">
        <v>1466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58"/>
    <col collapsed="false" customWidth="true" hidden="false" outlineLevel="0" max="4" min="4" style="0" width="12"/>
    <col collapsed="false" customWidth="true" hidden="false" outlineLevel="0" max="6" min="5" style="0" width="16"/>
    <col collapsed="false" customWidth="true" hidden="false" outlineLevel="0" max="7" min="7" style="0" width="60"/>
    <col collapsed="false" customWidth="true" hidden="false" outlineLevel="0" max="8" min="8" style="0" width="12"/>
  </cols>
  <sheetData>
    <row r="1" customFormat="false" ht="15" hidden="false" customHeight="false" outlineLevel="0" collapsed="false">
      <c r="A1" s="1" t="s">
        <v>1467</v>
      </c>
    </row>
    <row r="3" customFormat="false" ht="15" hidden="false" customHeight="false" outlineLevel="0" collapsed="false">
      <c r="A3" s="1" t="s">
        <v>156</v>
      </c>
      <c r="B3" s="1" t="s">
        <v>41</v>
      </c>
      <c r="C3" s="1" t="s">
        <v>39</v>
      </c>
      <c r="D3" s="1" t="s">
        <v>38</v>
      </c>
      <c r="E3" s="1" t="s">
        <v>170</v>
      </c>
      <c r="F3" s="1" t="s">
        <v>1468</v>
      </c>
      <c r="G3" s="1" t="s">
        <v>52</v>
      </c>
      <c r="H3" s="1" t="s">
        <v>1469</v>
      </c>
    </row>
    <row r="4" customFormat="false" ht="15" hidden="false" customHeight="false" outlineLevel="0" collapsed="false">
      <c r="A4" s="2" t="s">
        <v>55</v>
      </c>
      <c r="B4" s="2" t="str">
        <f aca="false">INDEX('MATERIALS DB'!$C$4:$C$465,MATCH(A4,'MATERIALS DB'!$A$4:$A$465,0))</f>
        <v>Blue Carbon</v>
      </c>
      <c r="C4" s="2" t="str">
        <f aca="false">INDEX('MATERIALS DB'!$D$4:$D$465,MATCH(A4,'MATERIALS DB'!$A$4:$A$465,0))</f>
        <v>630W Bifacial solar panel</v>
      </c>
      <c r="D4" s="2" t="n">
        <v>8</v>
      </c>
      <c r="E4" s="14" t="n">
        <f aca="false">INDEX('MATERIALS DB'!$Q$4:$Q$465,MATCH(A4,'MATERIALS DB'!$A$4:$A$465,0))</f>
        <v>0.00923333333333333</v>
      </c>
      <c r="F4" s="7" t="n">
        <f aca="false">D4*E4</f>
        <v>0.0738666666666667</v>
      </c>
      <c r="G4" s="2" t="s">
        <v>1470</v>
      </c>
      <c r="H4" s="2" t="str">
        <f aca="false">IF(INDEX(SUPPLIERS!$F$3:$F$30,MATCH(B4,SUPPLIERS!$A$3:$A$30,0))="Yes","No","Yes")</f>
        <v>Yes</v>
      </c>
    </row>
    <row r="5" customFormat="false" ht="15" hidden="false" customHeight="false" outlineLevel="0" collapsed="false">
      <c r="A5" s="2" t="s">
        <v>56</v>
      </c>
      <c r="B5" s="2" t="str">
        <f aca="false">INDEX('MATERIALS DB'!$C$4:$C$465,MATCH(A5,'MATERIALS DB'!$A$4:$A$465,0))</f>
        <v>Felicity Solar</v>
      </c>
      <c r="C5" s="2" t="str">
        <f aca="false">INDEX('MATERIALS DB'!$D$4:$D$465,MATCH(A5,'MATERIALS DB'!$A$4:$A$465,0))</f>
        <v>6 kW low-voltage hybrid inverter (grid-tie + backup)</v>
      </c>
      <c r="D5" s="2" t="n">
        <v>1</v>
      </c>
      <c r="E5" s="14" t="n">
        <f aca="false">INDEX('MATERIALS DB'!$Q$4:$Q$465,MATCH(A5,'MATERIALS DB'!$A$4:$A$465,0))</f>
        <v>0.00816666666666667</v>
      </c>
      <c r="F5" s="7" t="n">
        <f aca="false">D5*E5</f>
        <v>0.00816666666666667</v>
      </c>
      <c r="G5" s="2" t="s">
        <v>1471</v>
      </c>
      <c r="H5" s="2" t="str">
        <f aca="false">IF(INDEX(SUPPLIERS!$F$3:$F$30,MATCH(B5,SUPPLIERS!$A$3:$A$30,0))="Yes","No","Yes")</f>
        <v>Yes</v>
      </c>
    </row>
    <row r="6" customFormat="false" ht="15" hidden="false" customHeight="false" outlineLevel="0" collapsed="false">
      <c r="A6" s="2" t="s">
        <v>57</v>
      </c>
      <c r="B6" s="2" t="str">
        <f aca="false">INDEX('MATERIALS DB'!$C$4:$C$465,MATCH(A6,'MATERIALS DB'!$A$4:$A$465,0))</f>
        <v>Felicity Solar</v>
      </c>
      <c r="C6" s="2" t="str">
        <f aca="false">INDEX('MATERIALS DB'!$D$4:$D$465,MATCH(A6,'MATERIALS DB'!$A$4:$A$465,0))</f>
        <v>LiFePO4 51.2V 230Ah (11.7 kWh), FLB IP65</v>
      </c>
      <c r="D6" s="2" t="n">
        <v>1</v>
      </c>
      <c r="E6" s="14" t="n">
        <f aca="false">INDEX('MATERIALS DB'!$Q$4:$Q$465,MATCH(A6,'MATERIALS DB'!$A$4:$A$465,0))</f>
        <v>0.037</v>
      </c>
      <c r="F6" s="7" t="n">
        <f aca="false">D6*E6</f>
        <v>0.037</v>
      </c>
      <c r="G6" s="2" t="s">
        <v>1472</v>
      </c>
      <c r="H6" s="2" t="str">
        <f aca="false">IF(INDEX(SUPPLIERS!$F$3:$F$30,MATCH(B6,SUPPLIERS!$A$3:$A$30,0))="Yes","No","Yes")</f>
        <v>Yes</v>
      </c>
    </row>
    <row r="7" customFormat="false" ht="15" hidden="false" customHeight="false" outlineLevel="0" collapsed="false">
      <c r="A7" s="2" t="s">
        <v>58</v>
      </c>
      <c r="B7" s="2" t="str">
        <f aca="false">INDEX('MATERIALS DB'!$C$4:$C$465,MATCH(A7,'MATERIALS DB'!$A$4:$A$465,0))</f>
        <v>Blue Carbon</v>
      </c>
      <c r="C7" s="2" t="str">
        <f aca="false">INDEX('MATERIALS DB'!$D$4:$D$465,MATCH(A7,'MATERIALS DB'!$A$4:$A$465,0))</f>
        <v>Rail 2.4 m</v>
      </c>
      <c r="D7" s="2" t="n">
        <v>8</v>
      </c>
      <c r="E7" s="14" t="n">
        <f aca="false">INDEX('MATERIALS DB'!$Q$4:$Q$465,MATCH(A7,'MATERIALS DB'!$A$4:$A$465,0))</f>
        <v>0.000866666666666667</v>
      </c>
      <c r="F7" s="7" t="n">
        <f aca="false">D7*E7</f>
        <v>0.00693333333333333</v>
      </c>
      <c r="H7" s="2" t="str">
        <f aca="false">IF(INDEX(SUPPLIERS!$F$3:$F$30,MATCH(B7,SUPPLIERS!$A$3:$A$30,0))="Yes","No","Yes")</f>
        <v>Yes</v>
      </c>
    </row>
    <row r="8" customFormat="false" ht="15" hidden="false" customHeight="false" outlineLevel="0" collapsed="false">
      <c r="A8" s="2" t="s">
        <v>59</v>
      </c>
      <c r="B8" s="2" t="str">
        <f aca="false">INDEX('MATERIALS DB'!$C$4:$C$465,MATCH(A8,'MATERIALS DB'!$A$4:$A$465,0))</f>
        <v>Blue Carbon</v>
      </c>
      <c r="C8" s="2" t="str">
        <f aca="false">INDEX('MATERIALS DB'!$D$4:$D$465,MATCH(A8,'MATERIALS DB'!$A$4:$A$465,0))</f>
        <v>L-leg (L-foot)</v>
      </c>
      <c r="D8" s="2" t="n">
        <v>24</v>
      </c>
      <c r="E8" s="14" t="n">
        <f aca="false">INDEX('MATERIALS DB'!$Q$4:$Q$465,MATCH(A8,'MATERIALS DB'!$A$4:$A$465,0))</f>
        <v>5E-005</v>
      </c>
      <c r="F8" s="7" t="n">
        <f aca="false">D8*E8</f>
        <v>0.0012</v>
      </c>
      <c r="H8" s="2" t="str">
        <f aca="false">IF(INDEX(SUPPLIERS!$F$3:$F$30,MATCH(B8,SUPPLIERS!$A$3:$A$30,0))="Yes","No","Yes")</f>
        <v>Yes</v>
      </c>
    </row>
    <row r="9" customFormat="false" ht="15" hidden="false" customHeight="false" outlineLevel="0" collapsed="false">
      <c r="A9" s="2" t="s">
        <v>60</v>
      </c>
      <c r="B9" s="2" t="str">
        <f aca="false">INDEX('MATERIALS DB'!$C$4:$C$465,MATCH(A9,'MATERIALS DB'!$A$4:$A$465,0))</f>
        <v>Blue Carbon</v>
      </c>
      <c r="C9" s="2" t="str">
        <f aca="false">INDEX('MATERIALS DB'!$D$4:$D$465,MATCH(A9,'MATERIALS DB'!$A$4:$A$465,0))</f>
        <v>End clamp</v>
      </c>
      <c r="D9" s="2" t="n">
        <v>8</v>
      </c>
      <c r="E9" s="14" t="n">
        <f aca="false">INDEX('MATERIALS DB'!$Q$4:$Q$465,MATCH(A9,'MATERIALS DB'!$A$4:$A$465,0))</f>
        <v>2.66666666666667E-005</v>
      </c>
      <c r="F9" s="7" t="n">
        <f aca="false">D9*E9</f>
        <v>0.000213333333333333</v>
      </c>
      <c r="H9" s="2" t="str">
        <f aca="false">IF(INDEX(SUPPLIERS!$F$3:$F$30,MATCH(B9,SUPPLIERS!$A$3:$A$30,0))="Yes","No","Yes")</f>
        <v>Yes</v>
      </c>
    </row>
    <row r="10" customFormat="false" ht="15" hidden="false" customHeight="false" outlineLevel="0" collapsed="false">
      <c r="A10" s="2" t="s">
        <v>61</v>
      </c>
      <c r="B10" s="2" t="str">
        <f aca="false">INDEX('MATERIALS DB'!$C$4:$C$465,MATCH(A10,'MATERIALS DB'!$A$4:$A$465,0))</f>
        <v>Blue Carbon</v>
      </c>
      <c r="C10" s="2" t="str">
        <f aca="false">INDEX('MATERIALS DB'!$D$4:$D$465,MATCH(A10,'MATERIALS DB'!$A$4:$A$465,0))</f>
        <v>Mid clamp</v>
      </c>
      <c r="D10" s="2" t="n">
        <v>12</v>
      </c>
      <c r="E10" s="14" t="n">
        <f aca="false">INDEX('MATERIALS DB'!$Q$4:$Q$465,MATCH(A10,'MATERIALS DB'!$A$4:$A$465,0))</f>
        <v>2.66666666666667E-005</v>
      </c>
      <c r="F10" s="7" t="n">
        <f aca="false">D10*E10</f>
        <v>0.00032</v>
      </c>
      <c r="H10" s="2" t="str">
        <f aca="false">IF(INDEX(SUPPLIERS!$F$3:$F$30,MATCH(B10,SUPPLIERS!$A$3:$A$30,0))="Yes","No","Yes")</f>
        <v>Yes</v>
      </c>
    </row>
    <row r="11" customFormat="false" ht="15" hidden="false" customHeight="false" outlineLevel="0" collapsed="false">
      <c r="A11" s="2" t="s">
        <v>62</v>
      </c>
      <c r="B11" s="2" t="str">
        <f aca="false">INDEX('MATERIALS DB'!$C$4:$C$465,MATCH(A11,'MATERIALS DB'!$A$4:$A$465,0))</f>
        <v>Blue Carbon</v>
      </c>
      <c r="C11" s="2" t="str">
        <f aca="false">INDEX('MATERIALS DB'!$D$4:$D$465,MATCH(A11,'MATERIALS DB'!$A$4:$A$465,0))</f>
        <v>Rail splice</v>
      </c>
      <c r="D11" s="2" t="n">
        <v>4</v>
      </c>
      <c r="E11" s="14" t="n">
        <f aca="false">INDEX('MATERIALS DB'!$Q$4:$Q$465,MATCH(A11,'MATERIALS DB'!$A$4:$A$465,0))</f>
        <v>5E-005</v>
      </c>
      <c r="F11" s="7" t="n">
        <f aca="false">D11*E11</f>
        <v>0.0002</v>
      </c>
      <c r="H11" s="2" t="str">
        <f aca="false">IF(INDEX(SUPPLIERS!$F$3:$F$30,MATCH(B11,SUPPLIERS!$A$3:$A$30,0))="Yes","No","Yes")</f>
        <v>Yes</v>
      </c>
    </row>
    <row r="12" customFormat="false" ht="15" hidden="false" customHeight="false" outlineLevel="0" collapsed="false">
      <c r="A12" s="2" t="s">
        <v>63</v>
      </c>
      <c r="B12" s="2" t="str">
        <f aca="false">INDEX('MATERIALS DB'!$C$4:$C$465,MATCH(A12,'MATERIALS DB'!$A$4:$A$465,0))</f>
        <v>Blue Carbon</v>
      </c>
      <c r="C12" s="2" t="str">
        <f aca="false">INDEX('MATERIALS DB'!$D$4:$D$465,MATCH(A12,'MATERIALS DB'!$A$4:$A$465,0))</f>
        <v>Solar cable 4mm2, red</v>
      </c>
      <c r="D12" s="2" t="n">
        <v>15</v>
      </c>
      <c r="E12" s="14" t="n">
        <f aca="false">INDEX('MATERIALS DB'!$Q$4:$Q$465,MATCH(A12,'MATERIALS DB'!$A$4:$A$465,0))</f>
        <v>1.83333333333333E-005</v>
      </c>
      <c r="F12" s="7" t="n">
        <f aca="false">D12*E12</f>
        <v>0.000275</v>
      </c>
      <c r="G12" s="2" t="s">
        <v>1473</v>
      </c>
      <c r="H12" s="2" t="str">
        <f aca="false">IF(INDEX(SUPPLIERS!$F$3:$F$30,MATCH(B12,SUPPLIERS!$A$3:$A$30,0))="Yes","No","Yes")</f>
        <v>Yes</v>
      </c>
    </row>
    <row r="13" customFormat="false" ht="15" hidden="false" customHeight="false" outlineLevel="0" collapsed="false">
      <c r="A13" s="2" t="s">
        <v>64</v>
      </c>
      <c r="B13" s="2" t="str">
        <f aca="false">INDEX('MATERIALS DB'!$C$4:$C$465,MATCH(A13,'MATERIALS DB'!$A$4:$A$465,0))</f>
        <v>Blue Carbon</v>
      </c>
      <c r="C13" s="2" t="str">
        <f aca="false">INDEX('MATERIALS DB'!$D$4:$D$465,MATCH(A13,'MATERIALS DB'!$A$4:$A$465,0))</f>
        <v>Solar cable 4mm2, black</v>
      </c>
      <c r="D13" s="2" t="n">
        <v>15</v>
      </c>
      <c r="E13" s="14" t="n">
        <f aca="false">INDEX('MATERIALS DB'!$Q$4:$Q$465,MATCH(A13,'MATERIALS DB'!$A$4:$A$465,0))</f>
        <v>1.83333333333333E-005</v>
      </c>
      <c r="F13" s="7" t="n">
        <f aca="false">D13*E13</f>
        <v>0.000275</v>
      </c>
      <c r="H13" s="2" t="str">
        <f aca="false">IF(INDEX(SUPPLIERS!$F$3:$F$30,MATCH(B13,SUPPLIERS!$A$3:$A$30,0))="Yes","No","Yes")</f>
        <v>Yes</v>
      </c>
    </row>
    <row r="14" customFormat="false" ht="15" hidden="false" customHeight="false" outlineLevel="0" collapsed="false">
      <c r="A14" s="2" t="s">
        <v>65</v>
      </c>
      <c r="B14" s="2" t="str">
        <f aca="false">INDEX('MATERIALS DB'!$C$4:$C$465,MATCH(A14,'MATERIALS DB'!$A$4:$A$465,0))</f>
        <v>IAN Solar</v>
      </c>
      <c r="C14" s="2" t="str">
        <f aca="false">INDEX('MATERIALS DB'!$D$4:$D$465,MATCH(A14,'MATERIALS DB'!$A$4:$A$465,0))</f>
        <v>THHN 8.0mm2 EURO WIRES</v>
      </c>
      <c r="D14" s="2" t="n">
        <v>35</v>
      </c>
      <c r="E14" s="14" t="n">
        <f aca="false">INDEX('MATERIALS DB'!$Q$4:$Q$465,MATCH(A14,'MATERIALS DB'!$A$4:$A$465,0))</f>
        <v>3.43333333333333E-005</v>
      </c>
      <c r="F14" s="7" t="n">
        <f aca="false">D14*E14</f>
        <v>0.00120166666666667</v>
      </c>
      <c r="G14" s="2" t="s">
        <v>1474</v>
      </c>
      <c r="H14" s="2" t="str">
        <f aca="false">IF(INDEX(SUPPLIERS!$F$3:$F$30,MATCH(B14,SUPPLIERS!$A$3:$A$30,0))="Yes","No","Yes")</f>
        <v>Yes</v>
      </c>
    </row>
    <row r="15" customFormat="false" ht="15" hidden="false" customHeight="false" outlineLevel="0" collapsed="false">
      <c r="A15" s="2" t="s">
        <v>66</v>
      </c>
      <c r="B15" s="2" t="str">
        <f aca="false">INDEX('MATERIALS DB'!$C$4:$C$465,MATCH(A15,'MATERIALS DB'!$A$4:$A$465,0))</f>
        <v>One Point</v>
      </c>
      <c r="C15" s="2" t="str">
        <f aca="false">INDEX('MATERIALS DB'!$D$4:$D$465,MATCH(A15,'MATERIALS DB'!$A$4:$A$465,0))</f>
        <v>35mm2 - 1M w/ LUG PAIR</v>
      </c>
      <c r="D15" s="2" t="n">
        <v>2</v>
      </c>
      <c r="E15" s="14" t="n">
        <f aca="false">INDEX('MATERIALS DB'!$Q$4:$Q$465,MATCH(A15,'MATERIALS DB'!$A$4:$A$465,0))</f>
        <v>0.000156666666666667</v>
      </c>
      <c r="F15" s="7" t="n">
        <f aca="false">D15*E15</f>
        <v>0.000313333333333333</v>
      </c>
      <c r="G15" s="2" t="s">
        <v>1475</v>
      </c>
      <c r="H15" s="2" t="str">
        <f aca="false">IF(INDEX(SUPPLIERS!$F$3:$F$30,MATCH(B15,SUPPLIERS!$A$3:$A$30,0))="Yes","No","Yes")</f>
        <v>Yes</v>
      </c>
    </row>
    <row r="16" customFormat="false" ht="15" hidden="false" customHeight="false" outlineLevel="0" collapsed="false">
      <c r="A16" s="2" t="s">
        <v>75</v>
      </c>
      <c r="B16" s="2" t="str">
        <f aca="false">INDEX('MATERIALS DB'!$C$4:$C$465,MATCH(A16,'MATERIALS DB'!$A$4:$A$465,0))</f>
        <v>One Point</v>
      </c>
      <c r="C16" s="2" t="str">
        <f aca="false">INDEX('MATERIALS DB'!$D$4:$D$465,MATCH(A16,'MATERIALS DB'!$A$4:$A$465,0))</f>
        <v>Cable TRAY 60*60 - 2METER</v>
      </c>
      <c r="D16" s="2" t="n">
        <v>1</v>
      </c>
      <c r="E16" s="14" t="n">
        <f aca="false">INDEX('MATERIALS DB'!$Q$4:$Q$465,MATCH(A16,'MATERIALS DB'!$A$4:$A$465,0))</f>
        <v>0.000504408553632273</v>
      </c>
      <c r="F16" s="7" t="n">
        <f aca="false">D16*E16</f>
        <v>0.000504408553632273</v>
      </c>
      <c r="G16" s="2" t="s">
        <v>1476</v>
      </c>
      <c r="H16" s="2" t="str">
        <f aca="false">IF(INDEX(SUPPLIERS!$F$3:$F$30,MATCH(B16,SUPPLIERS!$A$3:$A$30,0))="Yes","No","Yes")</f>
        <v>Yes</v>
      </c>
    </row>
    <row r="17" customFormat="false" ht="15" hidden="false" customHeight="false" outlineLevel="0" collapsed="false">
      <c r="A17" s="2" t="s">
        <v>76</v>
      </c>
      <c r="B17" s="2" t="str">
        <f aca="false">INDEX('MATERIALS DB'!$C$4:$C$465,MATCH(A17,'MATERIALS DB'!$A$4:$A$465,0))</f>
        <v>IAN Solar</v>
      </c>
      <c r="C17" s="2" t="str">
        <f aca="false">INDEX('MATERIALS DB'!$D$4:$D$465,MATCH(A17,'MATERIALS DB'!$A$4:$A$465,0))</f>
        <v>FLEX CONDUIT 32mm</v>
      </c>
      <c r="D17" s="2" t="n">
        <v>30</v>
      </c>
      <c r="E17" s="14" t="n">
        <f aca="false">INDEX('MATERIALS DB'!$Q$4:$Q$465,MATCH(A17,'MATERIALS DB'!$A$4:$A$465,0))</f>
        <v>4.33333333333333E-005</v>
      </c>
      <c r="F17" s="7" t="n">
        <f aca="false">D17*E17</f>
        <v>0.0013</v>
      </c>
      <c r="G17" s="2" t="s">
        <v>1477</v>
      </c>
      <c r="H17" s="2" t="str">
        <f aca="false">IF(INDEX(SUPPLIERS!$F$3:$F$30,MATCH(B17,SUPPLIERS!$A$3:$A$30,0))="Yes","No","Yes")</f>
        <v>Yes</v>
      </c>
    </row>
    <row r="18" customFormat="false" ht="15" hidden="false" customHeight="false" outlineLevel="0" collapsed="false">
      <c r="A18" s="2" t="s">
        <v>67</v>
      </c>
      <c r="B18" s="2" t="str">
        <f aca="false">INDEX('MATERIALS DB'!$C$4:$C$465,MATCH(A18,'MATERIALS DB'!$A$4:$A$465,0))</f>
        <v>IAN Solar</v>
      </c>
      <c r="C18" s="2" t="str">
        <f aca="false">INDEX('MATERIALS DB'!$D$4:$D$465,MATCH(A18,'MATERIALS DB'!$A$4:$A$465,0))</f>
        <v>MC4 PAIR</v>
      </c>
      <c r="D18" s="2" t="n">
        <v>4</v>
      </c>
      <c r="E18" s="14" t="n">
        <f aca="false">INDEX('MATERIALS DB'!$Q$4:$Q$465,MATCH(A18,'MATERIALS DB'!$A$4:$A$465,0))</f>
        <v>7E-006</v>
      </c>
      <c r="F18" s="7" t="n">
        <f aca="false">D18*E18</f>
        <v>2.8E-005</v>
      </c>
      <c r="G18" s="2" t="s">
        <v>1478</v>
      </c>
      <c r="H18" s="2" t="str">
        <f aca="false">IF(INDEX(SUPPLIERS!$F$3:$F$30,MATCH(B18,SUPPLIERS!$A$3:$A$30,0))="Yes","No","Yes")</f>
        <v>Yes</v>
      </c>
    </row>
    <row r="19" customFormat="false" ht="15" hidden="false" customHeight="false" outlineLevel="0" collapsed="false">
      <c r="A19" s="2" t="s">
        <v>68</v>
      </c>
      <c r="B19" s="2" t="str">
        <f aca="false">INDEX('MATERIALS DB'!$C$4:$C$465,MATCH(A19,'MATERIALS DB'!$A$4:$A$465,0))</f>
        <v>IAN Solar</v>
      </c>
      <c r="C19" s="2" t="str">
        <f aca="false">INDEX('MATERIALS DB'!$D$4:$D$465,MATCH(A19,'MATERIALS DB'!$A$4:$A$465,0))</f>
        <v>SUNTREE DC BREAKER 2P 16A/25A 600V</v>
      </c>
      <c r="D19" s="2" t="n">
        <v>2</v>
      </c>
      <c r="E19" s="14" t="n">
        <f aca="false">INDEX('MATERIALS DB'!$Q$4:$Q$465,MATCH(A19,'MATERIALS DB'!$A$4:$A$465,0))</f>
        <v>8.66666666666667E-005</v>
      </c>
      <c r="F19" s="7" t="n">
        <f aca="false">D19*E19</f>
        <v>0.000173333333333333</v>
      </c>
      <c r="G19" s="2" t="s">
        <v>1479</v>
      </c>
      <c r="H19" s="2" t="str">
        <f aca="false">IF(INDEX(SUPPLIERS!$F$3:$F$30,MATCH(B19,SUPPLIERS!$A$3:$A$30,0))="Yes","No","Yes")</f>
        <v>Yes</v>
      </c>
    </row>
    <row r="20" customFormat="false" ht="15" hidden="false" customHeight="false" outlineLevel="0" collapsed="false">
      <c r="A20" s="2" t="s">
        <v>69</v>
      </c>
      <c r="B20" s="2" t="str">
        <f aca="false">INDEX('MATERIALS DB'!$C$4:$C$465,MATCH(A20,'MATERIALS DB'!$A$4:$A$465,0))</f>
        <v>IAN Solar</v>
      </c>
      <c r="C20" s="2" t="str">
        <f aca="false">INDEX('MATERIALS DB'!$D$4:$D$465,MATCH(A20,'MATERIALS DB'!$A$4:$A$465,0))</f>
        <v>SUNTREE DC SPD 2P 600V</v>
      </c>
      <c r="D20" s="2" t="n">
        <v>1</v>
      </c>
      <c r="E20" s="14" t="n">
        <f aca="false">INDEX('MATERIALS DB'!$Q$4:$Q$465,MATCH(A20,'MATERIALS DB'!$A$4:$A$465,0))</f>
        <v>1E-004</v>
      </c>
      <c r="F20" s="7" t="n">
        <f aca="false">D20*E20</f>
        <v>1E-004</v>
      </c>
      <c r="G20" s="2" t="s">
        <v>1480</v>
      </c>
      <c r="H20" s="2" t="str">
        <f aca="false">IF(INDEX(SUPPLIERS!$F$3:$F$30,MATCH(B20,SUPPLIERS!$A$3:$A$30,0))="Yes","No","Yes")</f>
        <v>Yes</v>
      </c>
    </row>
    <row r="21" customFormat="false" ht="15" hidden="false" customHeight="false" outlineLevel="0" collapsed="false">
      <c r="A21" s="2" t="s">
        <v>70</v>
      </c>
      <c r="B21" s="2" t="str">
        <f aca="false">INDEX('MATERIALS DB'!$C$4:$C$465,MATCH(A21,'MATERIALS DB'!$A$4:$A$465,0))</f>
        <v>IAN Solar</v>
      </c>
      <c r="C21" s="2" t="str">
        <f aca="false">INDEX('MATERIALS DB'!$D$4:$D$465,MATCH(A21,'MATERIALS DB'!$A$4:$A$465,0))</f>
        <v>SUNTREE DC BATTERY BREAKER 2P 250A 500V</v>
      </c>
      <c r="D21" s="2" t="n">
        <v>1</v>
      </c>
      <c r="E21" s="14" t="n">
        <f aca="false">INDEX('MATERIALS DB'!$Q$4:$Q$465,MATCH(A21,'MATERIALS DB'!$A$4:$A$465,0))</f>
        <v>0.001</v>
      </c>
      <c r="F21" s="7" t="n">
        <f aca="false">D21*E21</f>
        <v>0.001</v>
      </c>
      <c r="G21" s="2" t="s">
        <v>1481</v>
      </c>
      <c r="H21" s="2" t="str">
        <f aca="false">IF(INDEX(SUPPLIERS!$F$3:$F$30,MATCH(B21,SUPPLIERS!$A$3:$A$30,0))="Yes","No","Yes")</f>
        <v>Yes</v>
      </c>
    </row>
    <row r="22" customFormat="false" ht="15" hidden="false" customHeight="false" outlineLevel="0" collapsed="false">
      <c r="A22" s="2" t="s">
        <v>71</v>
      </c>
      <c r="B22" s="2" t="str">
        <f aca="false">INDEX('MATERIALS DB'!$C$4:$C$465,MATCH(A22,'MATERIALS DB'!$A$4:$A$465,0))</f>
        <v>One Point</v>
      </c>
      <c r="C22" s="2" t="str">
        <f aca="false">INDEX('MATERIALS DB'!$D$4:$D$465,MATCH(A22,'MATERIALS DB'!$A$4:$A$465,0))</f>
        <v>AC-2P-ATS-690V-63A - MINI</v>
      </c>
      <c r="D22" s="2" t="n">
        <v>1</v>
      </c>
      <c r="E22" s="14" t="n">
        <f aca="false">INDEX('MATERIALS DB'!$Q$4:$Q$465,MATCH(A22,'MATERIALS DB'!$A$4:$A$465,0))</f>
        <v>0.000283333333333333</v>
      </c>
      <c r="F22" s="7" t="n">
        <f aca="false">D22*E22</f>
        <v>0.000283333333333333</v>
      </c>
      <c r="G22" s="2" t="s">
        <v>1482</v>
      </c>
      <c r="H22" s="2" t="str">
        <f aca="false">IF(INDEX(SUPPLIERS!$F$3:$F$30,MATCH(B22,SUPPLIERS!$A$3:$A$30,0))="Yes","No","Yes")</f>
        <v>Yes</v>
      </c>
    </row>
    <row r="23" customFormat="false" ht="15" hidden="false" customHeight="false" outlineLevel="0" collapsed="false">
      <c r="A23" s="2" t="s">
        <v>72</v>
      </c>
      <c r="B23" s="2" t="str">
        <f aca="false">INDEX('MATERIALS DB'!$C$4:$C$465,MATCH(A23,'MATERIALS DB'!$A$4:$A$465,0))</f>
        <v>IAN Solar</v>
      </c>
      <c r="C23" s="2" t="str">
        <f aca="false">INDEX('MATERIALS DB'!$D$4:$D$465,MATCH(A23,'MATERIALS DB'!$A$4:$A$465,0))</f>
        <v>SUNTREE AC BREAKER 2P 32A/63A 400V</v>
      </c>
      <c r="D23" s="2" t="n">
        <v>4</v>
      </c>
      <c r="E23" s="14" t="n">
        <f aca="false">INDEX('MATERIALS DB'!$Q$4:$Q$465,MATCH(A23,'MATERIALS DB'!$A$4:$A$465,0))</f>
        <v>9.33333333333333E-005</v>
      </c>
      <c r="F23" s="7" t="n">
        <f aca="false">D23*E23</f>
        <v>0.000373333333333333</v>
      </c>
      <c r="G23" s="2" t="s">
        <v>1483</v>
      </c>
      <c r="H23" s="2" t="str">
        <f aca="false">IF(INDEX(SUPPLIERS!$F$3:$F$30,MATCH(B23,SUPPLIERS!$A$3:$A$30,0))="Yes","No","Yes")</f>
        <v>Yes</v>
      </c>
    </row>
    <row r="24" customFormat="false" ht="15" hidden="false" customHeight="false" outlineLevel="0" collapsed="false">
      <c r="A24" s="2" t="s">
        <v>73</v>
      </c>
      <c r="B24" s="2" t="str">
        <f aca="false">INDEX('MATERIALS DB'!$C$4:$C$465,MATCH(A24,'MATERIALS DB'!$A$4:$A$465,0))</f>
        <v>IAN Solar</v>
      </c>
      <c r="C24" s="2" t="str">
        <f aca="false">INDEX('MATERIALS DB'!$D$4:$D$465,MATCH(A24,'MATERIALS DB'!$A$4:$A$465,0))</f>
        <v>SUNTREE AC SPD 2P 275V</v>
      </c>
      <c r="D24" s="2" t="n">
        <v>4</v>
      </c>
      <c r="E24" s="14" t="n">
        <f aca="false">INDEX('MATERIALS DB'!$Q$4:$Q$465,MATCH(A24,'MATERIALS DB'!$A$4:$A$465,0))</f>
        <v>1E-004</v>
      </c>
      <c r="F24" s="7" t="n">
        <f aca="false">D24*E24</f>
        <v>0.0004</v>
      </c>
      <c r="G24" s="2" t="s">
        <v>1484</v>
      </c>
      <c r="H24" s="2" t="str">
        <f aca="false">IF(INDEX(SUPPLIERS!$F$3:$F$30,MATCH(B24,SUPPLIERS!$A$3:$A$30,0))="Yes","No","Yes")</f>
        <v>Yes</v>
      </c>
    </row>
    <row r="25" customFormat="false" ht="15" hidden="false" customHeight="false" outlineLevel="0" collapsed="false">
      <c r="A25" s="2" t="s">
        <v>74</v>
      </c>
      <c r="B25" s="2" t="str">
        <f aca="false">INDEX('MATERIALS DB'!$C$4:$C$465,MATCH(A25,'MATERIALS DB'!$A$4:$A$465,0))</f>
        <v>One Point</v>
      </c>
      <c r="C25" s="2" t="str">
        <f aca="false">INDEX('MATERIALS DB'!$D$4:$D$465,MATCH(A25,'MATERIALS DB'!$A$4:$A$465,0))</f>
        <v>METAL ENCLOSURE 50X40X20</v>
      </c>
      <c r="D25" s="2" t="n">
        <v>2</v>
      </c>
      <c r="E25" s="14" t="n">
        <f aca="false">INDEX('MATERIALS DB'!$Q$4:$Q$465,MATCH(A25,'MATERIALS DB'!$A$4:$A$465,0))</f>
        <v>0.00433441072405954</v>
      </c>
      <c r="F25" s="7" t="n">
        <f aca="false">D25*E25</f>
        <v>0.00866882144811909</v>
      </c>
      <c r="G25" s="2" t="s">
        <v>1485</v>
      </c>
      <c r="H25" s="2" t="str">
        <f aca="false">IF(INDEX(SUPPLIERS!$F$3:$F$30,MATCH(B25,SUPPLIERS!$A$3:$A$30,0))="Yes","No","Yes")</f>
        <v>Yes</v>
      </c>
    </row>
    <row r="26" customFormat="false" ht="15" hidden="false" customHeight="false" outlineLevel="0" collapsed="false">
      <c r="A26" s="2" t="s">
        <v>77</v>
      </c>
      <c r="B26" s="2" t="str">
        <f aca="false">INDEX('MATERIALS DB'!$C$4:$C$465,MATCH(A26,'MATERIALS DB'!$A$4:$A$465,0))</f>
        <v>One Point</v>
      </c>
      <c r="C26" s="2" t="str">
        <f aca="false">INDEX('MATERIALS DB'!$D$4:$D$465,MATCH(A26,'MATERIALS DB'!$A$4:$A$465,0))</f>
        <v>GROUNDING ROD 3METER 16MM</v>
      </c>
      <c r="D26" s="2" t="n">
        <v>1</v>
      </c>
      <c r="E26" s="14" t="n">
        <f aca="false">INDEX('MATERIALS DB'!$Q$4:$Q$465,MATCH(A26,'MATERIALS DB'!$A$4:$A$465,0))</f>
        <v>0.00158</v>
      </c>
      <c r="F26" s="7" t="n">
        <f aca="false">D26*E26</f>
        <v>0.00158</v>
      </c>
      <c r="G26" s="2" t="s">
        <v>1486</v>
      </c>
      <c r="H26" s="2" t="str">
        <f aca="false">IF(INDEX(SUPPLIERS!$F$3:$F$30,MATCH(B26,SUPPLIERS!$A$3:$A$30,0))="Yes","No","Yes")</f>
        <v>Yes</v>
      </c>
    </row>
    <row r="27" customFormat="false" ht="15" hidden="false" customHeight="false" outlineLevel="0" collapsed="false">
      <c r="A27" s="2" t="s">
        <v>78</v>
      </c>
      <c r="B27" s="2" t="str">
        <f aca="false">INDEX('MATERIALS DB'!$C$4:$C$465,MATCH(A27,'MATERIALS DB'!$A$4:$A$465,0))</f>
        <v>IAN Solar</v>
      </c>
      <c r="C27" s="2" t="str">
        <f aca="false">INDEX('MATERIALS DB'!$D$4:$D$465,MATCH(A27,'MATERIALS DB'!$A$4:$A$465,0))</f>
        <v>EARTH LUG</v>
      </c>
      <c r="D27" s="2" t="n">
        <v>4</v>
      </c>
      <c r="E27" s="14" t="n">
        <f aca="false">INDEX('MATERIALS DB'!$Q$4:$Q$465,MATCH(A27,'MATERIALS DB'!$A$4:$A$465,0))</f>
        <v>2.66666666666667E-005</v>
      </c>
      <c r="F27" s="7" t="n">
        <f aca="false">D27*E27</f>
        <v>0.000106666666666667</v>
      </c>
      <c r="G27" s="2" t="s">
        <v>1487</v>
      </c>
      <c r="H27" s="2" t="str">
        <f aca="false">IF(INDEX(SUPPLIERS!$F$3:$F$30,MATCH(B27,SUPPLIERS!$A$3:$A$30,0))="Yes","No","Yes")</f>
        <v>Yes</v>
      </c>
    </row>
    <row r="29" customFormat="false" ht="15" hidden="false" customHeight="false" outlineLevel="0" collapsed="false">
      <c r="A29" s="2" t="s">
        <v>1488</v>
      </c>
    </row>
    <row r="32" customFormat="false" ht="15" hidden="false" customHeight="false" outlineLevel="0" collapsed="false">
      <c r="A32" s="1" t="s">
        <v>1489</v>
      </c>
      <c r="F32" s="7" t="n">
        <f aca="false">SUMPRODUCT((H4:H29="Yes")*F4:F29)</f>
        <v>0.144482896668418</v>
      </c>
    </row>
    <row r="33" customFormat="false" ht="15" hidden="false" customHeight="false" outlineLevel="0" collapsed="false">
      <c r="A33" s="1" t="s">
        <v>1490</v>
      </c>
      <c r="F33" s="10" t="n">
        <f aca="false">ROUNDUP(F32,0)</f>
        <v>1</v>
      </c>
      <c r="G33" s="2" t="s">
        <v>1491</v>
      </c>
    </row>
    <row r="34" customFormat="false" ht="15" hidden="false" customHeight="false" outlineLevel="0" collapsed="false">
      <c r="A34" s="1" t="s">
        <v>1492</v>
      </c>
      <c r="F34" s="5" t="n">
        <f aca="false">F33*DRIVERS!$B$19</f>
        <v>17282.1428571429</v>
      </c>
    </row>
    <row r="35" customFormat="false" ht="15" hidden="false" customHeight="false" outlineLevel="0" collapsed="false">
      <c r="A35" s="1" t="s">
        <v>1493</v>
      </c>
      <c r="F35" s="5" t="n">
        <f aca="false">F34*(1+DRIVERS!$B$28)</f>
        <v>19874.4642857143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16"/>
    <col collapsed="false" customWidth="true" hidden="false" outlineLevel="0" max="3" min="3" style="0" width="14"/>
    <col collapsed="false" customWidth="true" hidden="false" outlineLevel="0" max="4" min="4" style="0" width="16"/>
    <col collapsed="false" customWidth="true" hidden="false" outlineLevel="0" max="5" min="5" style="0" width="28"/>
    <col collapsed="false" customWidth="true" hidden="false" outlineLevel="0" max="7" min="6" style="0" width="18"/>
  </cols>
  <sheetData>
    <row r="1" customFormat="false" ht="15" hidden="false" customHeight="false" outlineLevel="0" collapsed="false">
      <c r="A1" s="1" t="s">
        <v>1494</v>
      </c>
    </row>
    <row r="2" customFormat="false" ht="15" hidden="false" customHeight="false" outlineLevel="0" collapsed="false">
      <c r="A2" s="1" t="s">
        <v>39</v>
      </c>
      <c r="B2" s="1" t="s">
        <v>1311</v>
      </c>
      <c r="C2" s="1" t="s">
        <v>42</v>
      </c>
      <c r="D2" s="1" t="s">
        <v>1312</v>
      </c>
    </row>
    <row r="3" customFormat="false" ht="15" hidden="false" customHeight="false" outlineLevel="0" collapsed="false">
      <c r="A3" s="1" t="s">
        <v>1495</v>
      </c>
    </row>
    <row r="4" customFormat="false" ht="15" hidden="false" customHeight="false" outlineLevel="0" collapsed="false">
      <c r="A4" s="2" t="s">
        <v>1496</v>
      </c>
      <c r="B4" s="5" t="n">
        <v>3000</v>
      </c>
      <c r="C4" s="2" t="s">
        <v>1354</v>
      </c>
      <c r="D4" s="2" t="s">
        <v>1497</v>
      </c>
    </row>
    <row r="5" customFormat="false" ht="15" hidden="false" customHeight="false" outlineLevel="0" collapsed="false">
      <c r="A5" s="2" t="s">
        <v>1498</v>
      </c>
      <c r="B5" s="5" t="n">
        <v>1500</v>
      </c>
      <c r="C5" s="2" t="s">
        <v>1354</v>
      </c>
      <c r="D5" s="2" t="s">
        <v>1497</v>
      </c>
    </row>
    <row r="6" customFormat="false" ht="15" hidden="false" customHeight="false" outlineLevel="0" collapsed="false">
      <c r="A6" s="2" t="s">
        <v>1499</v>
      </c>
      <c r="B6" s="5" t="n">
        <v>1000</v>
      </c>
      <c r="C6" s="2" t="s">
        <v>1354</v>
      </c>
      <c r="D6" s="2" t="s">
        <v>1497</v>
      </c>
    </row>
    <row r="7" customFormat="false" ht="15" hidden="false" customHeight="false" outlineLevel="0" collapsed="false">
      <c r="A7" s="2" t="s">
        <v>1500</v>
      </c>
      <c r="B7" s="5" t="n">
        <v>150</v>
      </c>
      <c r="C7" s="2" t="s">
        <v>1501</v>
      </c>
      <c r="D7" s="2" t="s">
        <v>1502</v>
      </c>
    </row>
    <row r="8" customFormat="false" ht="15" hidden="false" customHeight="false" outlineLevel="0" collapsed="false">
      <c r="A8" s="2" t="s">
        <v>1503</v>
      </c>
      <c r="B8" s="5" t="n">
        <v>5000</v>
      </c>
      <c r="C8" s="2" t="s">
        <v>1354</v>
      </c>
      <c r="D8" s="2" t="s">
        <v>1504</v>
      </c>
    </row>
    <row r="9" customFormat="false" ht="15" hidden="false" customHeight="false" outlineLevel="0" collapsed="false">
      <c r="A9" s="1" t="s">
        <v>1505</v>
      </c>
    </row>
    <row r="10" customFormat="false" ht="15" hidden="false" customHeight="false" outlineLevel="0" collapsed="false">
      <c r="A10" s="2" t="s">
        <v>1506</v>
      </c>
      <c r="B10" s="2" t="n">
        <v>8</v>
      </c>
      <c r="C10" s="2" t="s">
        <v>1507</v>
      </c>
      <c r="D10" s="2"/>
    </row>
    <row r="11" customFormat="false" ht="15" hidden="false" customHeight="false" outlineLevel="0" collapsed="false">
      <c r="A11" s="2" t="s">
        <v>1508</v>
      </c>
      <c r="B11" s="2" t="n">
        <v>1</v>
      </c>
      <c r="C11" s="2" t="s">
        <v>1507</v>
      </c>
      <c r="D11" s="2" t="s">
        <v>239</v>
      </c>
    </row>
    <row r="12" customFormat="false" ht="15" hidden="false" customHeight="false" outlineLevel="0" collapsed="false">
      <c r="A12" s="2" t="s">
        <v>1509</v>
      </c>
      <c r="B12" s="2" t="n">
        <f aca="false">'MOB-DEMOB'!B18</f>
        <v>0.5</v>
      </c>
      <c r="C12" s="2" t="s">
        <v>1507</v>
      </c>
      <c r="D12" s="2" t="s">
        <v>1510</v>
      </c>
    </row>
    <row r="13" customFormat="false" ht="15" hidden="false" customHeight="false" outlineLevel="0" collapsed="false">
      <c r="A13" s="2" t="s">
        <v>1511</v>
      </c>
      <c r="B13" s="2" t="n">
        <f aca="false">B10-B11-B12</f>
        <v>6.5</v>
      </c>
      <c r="C13" s="2" t="s">
        <v>1507</v>
      </c>
      <c r="D13" s="2"/>
    </row>
    <row r="14" customFormat="false" ht="15" hidden="false" customHeight="false" outlineLevel="0" collapsed="false">
      <c r="A14" s="2" t="s">
        <v>1512</v>
      </c>
      <c r="B14" s="2" t="n">
        <v>1</v>
      </c>
      <c r="C14" s="2" t="s">
        <v>1513</v>
      </c>
      <c r="D14" s="2" t="s">
        <v>1514</v>
      </c>
    </row>
    <row r="16" customFormat="false" ht="15" hidden="false" customHeight="false" outlineLevel="0" collapsed="false">
      <c r="A16" s="1" t="s">
        <v>1515</v>
      </c>
    </row>
    <row r="17" customFormat="false" ht="15" hidden="false" customHeight="false" outlineLevel="0" collapsed="false">
      <c r="A17" s="1" t="s">
        <v>1516</v>
      </c>
      <c r="B17" s="1" t="s">
        <v>1517</v>
      </c>
      <c r="C17" s="1" t="s">
        <v>105</v>
      </c>
      <c r="D17" s="1" t="s">
        <v>1518</v>
      </c>
      <c r="E17" s="1" t="s">
        <v>1519</v>
      </c>
    </row>
    <row r="18" customFormat="false" ht="15" hidden="false" customHeight="false" outlineLevel="0" collapsed="false">
      <c r="A18" s="2" t="s">
        <v>1520</v>
      </c>
      <c r="B18" s="2" t="n">
        <v>4</v>
      </c>
      <c r="C18" s="2" t="n">
        <v>2</v>
      </c>
      <c r="D18" s="3" t="n">
        <f aca="false">B18*C18</f>
        <v>8</v>
      </c>
      <c r="E18" s="2" t="s">
        <v>1521</v>
      </c>
    </row>
    <row r="19" customFormat="false" ht="15" hidden="false" customHeight="false" outlineLevel="0" collapsed="false">
      <c r="A19" s="2" t="s">
        <v>1522</v>
      </c>
      <c r="B19" s="2" t="n">
        <v>2</v>
      </c>
      <c r="C19" s="2" t="n">
        <v>2</v>
      </c>
      <c r="D19" s="3" t="n">
        <f aca="false">B19*C19</f>
        <v>4</v>
      </c>
      <c r="E19" s="2" t="s">
        <v>1521</v>
      </c>
    </row>
    <row r="20" customFormat="false" ht="15" hidden="false" customHeight="false" outlineLevel="0" collapsed="false">
      <c r="A20" s="2" t="s">
        <v>1523</v>
      </c>
      <c r="B20" s="2" t="n">
        <v>4</v>
      </c>
      <c r="C20" s="2" t="n">
        <v>2</v>
      </c>
      <c r="D20" s="3" t="n">
        <f aca="false">B20*C20</f>
        <v>8</v>
      </c>
      <c r="E20" s="2" t="s">
        <v>1524</v>
      </c>
    </row>
    <row r="21" customFormat="false" ht="15" hidden="false" customHeight="false" outlineLevel="0" collapsed="false">
      <c r="A21" s="2" t="s">
        <v>1525</v>
      </c>
      <c r="B21" s="2" t="n">
        <v>2</v>
      </c>
      <c r="C21" s="2" t="n">
        <v>2</v>
      </c>
      <c r="D21" s="3" t="n">
        <f aca="false">B21*C21</f>
        <v>4</v>
      </c>
      <c r="E21" s="2" t="s">
        <v>1524</v>
      </c>
    </row>
    <row r="22" customFormat="false" ht="15" hidden="false" customHeight="false" outlineLevel="0" collapsed="false">
      <c r="A22" s="2" t="s">
        <v>1526</v>
      </c>
      <c r="B22" s="2" t="n">
        <v>1</v>
      </c>
      <c r="C22" s="2" t="n">
        <v>2</v>
      </c>
      <c r="D22" s="3" t="n">
        <f aca="false">B22*C22</f>
        <v>2</v>
      </c>
      <c r="E22" s="2" t="s">
        <v>1527</v>
      </c>
    </row>
    <row r="23" customFormat="false" ht="15" hidden="false" customHeight="false" outlineLevel="0" collapsed="false">
      <c r="A23" s="1" t="s">
        <v>138</v>
      </c>
      <c r="D23" s="3" t="n">
        <f aca="false">SUM(D18:D22)</f>
        <v>26</v>
      </c>
    </row>
    <row r="24" customFormat="false" ht="15" hidden="false" customHeight="false" outlineLevel="0" collapsed="false">
      <c r="A24" s="2" t="s">
        <v>1528</v>
      </c>
      <c r="B24" s="2" t="n">
        <v>16</v>
      </c>
    </row>
    <row r="26" customFormat="false" ht="15" hidden="false" customHeight="false" outlineLevel="0" collapsed="false">
      <c r="A26" s="1" t="s">
        <v>1529</v>
      </c>
    </row>
    <row r="27" customFormat="false" ht="15" hidden="false" customHeight="false" outlineLevel="0" collapsed="false">
      <c r="A27" s="2" t="s">
        <v>1530</v>
      </c>
      <c r="B27" s="16" t="n">
        <v>2</v>
      </c>
      <c r="C27" s="2" t="s">
        <v>1531</v>
      </c>
      <c r="D27" s="2" t="s">
        <v>1532</v>
      </c>
    </row>
    <row r="28" customFormat="false" ht="15" hidden="false" customHeight="false" outlineLevel="0" collapsed="false">
      <c r="A28" s="2" t="s">
        <v>1533</v>
      </c>
      <c r="B28" s="16" t="n">
        <f aca="false">(D18-B27)/B24</f>
        <v>0.375</v>
      </c>
      <c r="C28" s="2" t="s">
        <v>1534</v>
      </c>
    </row>
    <row r="29" customFormat="false" ht="15" hidden="false" customHeight="false" outlineLevel="0" collapsed="false">
      <c r="A29" s="2" t="s">
        <v>1535</v>
      </c>
      <c r="B29" s="16" t="n">
        <f aca="false">D19/B24</f>
        <v>0.25</v>
      </c>
      <c r="C29" s="2" t="s">
        <v>1534</v>
      </c>
    </row>
    <row r="30" customFormat="false" ht="15" hidden="false" customHeight="false" outlineLevel="0" collapsed="false">
      <c r="A30" s="2" t="s">
        <v>1536</v>
      </c>
      <c r="B30" s="3" t="n">
        <f aca="false">(B27+16*(B28+B29))/2</f>
        <v>6</v>
      </c>
      <c r="C30" s="2" t="s">
        <v>1507</v>
      </c>
      <c r="D30" s="2" t="s">
        <v>1537</v>
      </c>
    </row>
    <row r="32" customFormat="false" ht="15" hidden="false" customHeight="false" outlineLevel="0" collapsed="false">
      <c r="A32" s="1" t="s">
        <v>1538</v>
      </c>
    </row>
    <row r="33" customFormat="false" ht="15" hidden="false" customHeight="false" outlineLevel="0" collapsed="false">
      <c r="A33" s="2" t="s">
        <v>1539</v>
      </c>
      <c r="B33" s="12" t="n">
        <f aca="false">SUMPRODUCT(B39:B50,F39:F50)</f>
        <v>8.95</v>
      </c>
    </row>
    <row r="34" customFormat="false" ht="15" hidden="false" customHeight="false" outlineLevel="0" collapsed="false">
      <c r="A34" s="2" t="s">
        <v>1540</v>
      </c>
      <c r="B34" s="16" t="n">
        <f aca="false">D20/B33</f>
        <v>0.893854748603352</v>
      </c>
      <c r="D34" s="2" t="s">
        <v>1541</v>
      </c>
    </row>
    <row r="35" customFormat="false" ht="15" hidden="false" customHeight="false" outlineLevel="0" collapsed="false">
      <c r="A35" s="2" t="s">
        <v>1542</v>
      </c>
      <c r="B35" s="12" t="n">
        <f aca="false">SUMPRODUCT(C39:C50,F39:F50)</f>
        <v>9.3</v>
      </c>
    </row>
    <row r="36" customFormat="false" ht="15" hidden="false" customHeight="false" outlineLevel="0" collapsed="false">
      <c r="A36" s="2" t="s">
        <v>1543</v>
      </c>
      <c r="B36" s="16" t="n">
        <f aca="false">D21/B35</f>
        <v>0.43010752688172</v>
      </c>
      <c r="D36" s="2" t="s">
        <v>1544</v>
      </c>
    </row>
    <row r="38" customFormat="false" ht="15" hidden="false" customHeight="false" outlineLevel="0" collapsed="false">
      <c r="A38" s="1" t="s">
        <v>1545</v>
      </c>
      <c r="B38" s="1" t="s">
        <v>1546</v>
      </c>
      <c r="C38" s="1" t="s">
        <v>1547</v>
      </c>
      <c r="D38" s="1" t="s">
        <v>1548</v>
      </c>
      <c r="E38" s="1" t="s">
        <v>42</v>
      </c>
      <c r="F38" s="1" t="s">
        <v>1549</v>
      </c>
      <c r="G38" s="1" t="s">
        <v>1550</v>
      </c>
    </row>
    <row r="39" customFormat="false" ht="15" hidden="false" customHeight="false" outlineLevel="0" collapsed="false">
      <c r="A39" s="2" t="s">
        <v>1551</v>
      </c>
      <c r="B39" s="12" t="n">
        <v>2</v>
      </c>
      <c r="C39" s="12" t="n">
        <v>2</v>
      </c>
      <c r="D39" s="16" t="n">
        <f aca="false">B39*$B$34+C39*$B$36</f>
        <v>2.64792455097015</v>
      </c>
      <c r="E39" s="2" t="s">
        <v>1552</v>
      </c>
      <c r="F39" s="2" t="n">
        <v>0</v>
      </c>
      <c r="G39" s="2" t="n">
        <v>1</v>
      </c>
    </row>
    <row r="40" customFormat="false" ht="15" hidden="false" customHeight="false" outlineLevel="0" collapsed="false">
      <c r="A40" s="2" t="s">
        <v>1553</v>
      </c>
      <c r="B40" s="12" t="n">
        <v>1</v>
      </c>
      <c r="C40" s="12" t="n">
        <v>1</v>
      </c>
      <c r="D40" s="16" t="n">
        <f aca="false">B40*$B$34+C40*$B$36</f>
        <v>1.32396227548507</v>
      </c>
      <c r="E40" s="2" t="s">
        <v>1552</v>
      </c>
      <c r="F40" s="2" t="n">
        <v>1</v>
      </c>
      <c r="G40" s="2" t="n">
        <v>1</v>
      </c>
    </row>
    <row r="41" customFormat="false" ht="15" hidden="false" customHeight="false" outlineLevel="0" collapsed="false">
      <c r="A41" s="2" t="s">
        <v>1554</v>
      </c>
      <c r="B41" s="12" t="n">
        <v>0.5</v>
      </c>
      <c r="C41" s="12" t="n">
        <v>1</v>
      </c>
      <c r="D41" s="16" t="n">
        <f aca="false">B41*$B$34+C41*$B$36</f>
        <v>0.877034901183396</v>
      </c>
      <c r="E41" s="2" t="s">
        <v>1555</v>
      </c>
      <c r="F41" s="2" t="n">
        <v>0</v>
      </c>
      <c r="G41" s="2" t="n">
        <v>2</v>
      </c>
    </row>
    <row r="42" customFormat="false" ht="15" hidden="false" customHeight="false" outlineLevel="0" collapsed="false">
      <c r="A42" s="2" t="s">
        <v>1556</v>
      </c>
      <c r="B42" s="12" t="n">
        <v>1</v>
      </c>
      <c r="C42" s="12" t="n">
        <v>0</v>
      </c>
      <c r="D42" s="16" t="n">
        <f aca="false">B42*$B$34+C42*$B$36</f>
        <v>0.893854748603352</v>
      </c>
      <c r="E42" s="2" t="s">
        <v>1557</v>
      </c>
      <c r="F42" s="2" t="n">
        <v>2</v>
      </c>
      <c r="G42" s="2" t="n">
        <v>3</v>
      </c>
    </row>
    <row r="43" customFormat="false" ht="15" hidden="false" customHeight="false" outlineLevel="0" collapsed="false">
      <c r="A43" s="2" t="s">
        <v>1558</v>
      </c>
      <c r="B43" s="12" t="n">
        <v>0.2</v>
      </c>
      <c r="C43" s="12" t="n">
        <v>0.3</v>
      </c>
      <c r="D43" s="16" t="n">
        <f aca="false">B43*$B$34+C43*$B$36</f>
        <v>0.307803207785187</v>
      </c>
      <c r="E43" s="2" t="s">
        <v>1559</v>
      </c>
      <c r="F43" s="2" t="n">
        <v>6</v>
      </c>
      <c r="G43" s="2" t="n">
        <v>15</v>
      </c>
    </row>
    <row r="44" customFormat="false" ht="15" hidden="false" customHeight="false" outlineLevel="0" collapsed="false">
      <c r="A44" s="2" t="s">
        <v>1560</v>
      </c>
      <c r="B44" s="12" t="n">
        <v>0.15</v>
      </c>
      <c r="C44" s="12" t="n">
        <v>0</v>
      </c>
      <c r="D44" s="16" t="n">
        <f aca="false">B44*$B$34+C44*$B$36</f>
        <v>0.134078212290503</v>
      </c>
      <c r="E44" s="2" t="s">
        <v>765</v>
      </c>
      <c r="F44" s="2" t="n">
        <v>25</v>
      </c>
      <c r="G44" s="2" t="n">
        <v>30</v>
      </c>
    </row>
    <row r="45" customFormat="false" ht="15" hidden="false" customHeight="false" outlineLevel="0" collapsed="false">
      <c r="A45" s="2" t="s">
        <v>1561</v>
      </c>
      <c r="B45" s="12" t="n">
        <v>0</v>
      </c>
      <c r="C45" s="12" t="n">
        <v>0.02</v>
      </c>
      <c r="D45" s="16" t="n">
        <f aca="false">B45*$B$34+C45*$B$36</f>
        <v>0.00860215053763441</v>
      </c>
      <c r="E45" s="2" t="s">
        <v>765</v>
      </c>
      <c r="F45" s="2" t="n">
        <v>75</v>
      </c>
      <c r="G45" s="2" t="n">
        <v>90</v>
      </c>
    </row>
    <row r="46" customFormat="false" ht="15" hidden="false" customHeight="false" outlineLevel="0" collapsed="false">
      <c r="A46" s="2" t="s">
        <v>1562</v>
      </c>
      <c r="B46" s="12" t="n">
        <v>0</v>
      </c>
      <c r="C46" s="12" t="n">
        <v>0.25</v>
      </c>
      <c r="D46" s="16" t="n">
        <f aca="false">B46*$B$34+C46*$B$36</f>
        <v>0.10752688172043</v>
      </c>
      <c r="E46" s="2" t="s">
        <v>1563</v>
      </c>
      <c r="F46" s="2" t="n">
        <v>2</v>
      </c>
      <c r="G46" s="2" t="n">
        <v>3</v>
      </c>
    </row>
    <row r="47" customFormat="false" ht="15" hidden="false" customHeight="false" outlineLevel="0" collapsed="false">
      <c r="A47" s="2" t="s">
        <v>1564</v>
      </c>
      <c r="B47" s="12" t="n">
        <v>1</v>
      </c>
      <c r="C47" s="12" t="n">
        <v>0.5</v>
      </c>
      <c r="D47" s="16" t="n">
        <f aca="false">B47*$B$34+C47*$B$36</f>
        <v>1.10890851204421</v>
      </c>
      <c r="E47" s="2" t="s">
        <v>1565</v>
      </c>
      <c r="F47" s="2" t="n">
        <v>1</v>
      </c>
      <c r="G47" s="2" t="n">
        <v>1</v>
      </c>
    </row>
    <row r="48" customFormat="false" ht="15" hidden="false" customHeight="false" outlineLevel="0" collapsed="false">
      <c r="A48" s="2" t="s">
        <v>1566</v>
      </c>
      <c r="B48" s="12" t="n">
        <v>0</v>
      </c>
      <c r="C48" s="12" t="n">
        <v>3</v>
      </c>
      <c r="D48" s="16" t="n">
        <f aca="false">B48*$B$34+C48*$B$36</f>
        <v>1.29032258064516</v>
      </c>
      <c r="E48" s="2" t="s">
        <v>1567</v>
      </c>
      <c r="F48" s="2" t="n">
        <v>1</v>
      </c>
      <c r="G48" s="2" t="n">
        <v>1</v>
      </c>
    </row>
    <row r="49" customFormat="false" ht="15" hidden="false" customHeight="false" outlineLevel="0" collapsed="false">
      <c r="A49" s="2" t="s">
        <v>1568</v>
      </c>
      <c r="B49" s="12" t="n">
        <v>0</v>
      </c>
      <c r="C49" s="12" t="n">
        <v>1</v>
      </c>
      <c r="D49" s="16" t="n">
        <f aca="false">B49*$B$34+C49*$B$36</f>
        <v>0.43010752688172</v>
      </c>
      <c r="E49" s="2" t="s">
        <v>1552</v>
      </c>
      <c r="F49" s="2" t="n">
        <v>1</v>
      </c>
      <c r="G49" s="2" t="n">
        <v>2</v>
      </c>
    </row>
    <row r="50" customFormat="false" ht="15" hidden="false" customHeight="false" outlineLevel="0" collapsed="false">
      <c r="A50" s="2" t="s">
        <v>1569</v>
      </c>
      <c r="B50" s="12" t="n">
        <v>0</v>
      </c>
      <c r="C50" s="12" t="n">
        <v>0.5</v>
      </c>
      <c r="D50" s="16" t="n">
        <f aca="false">B50*$B$34+C50*$B$36</f>
        <v>0.21505376344086</v>
      </c>
      <c r="E50" s="2" t="s">
        <v>1555</v>
      </c>
      <c r="F50" s="2" t="n">
        <v>0</v>
      </c>
      <c r="G50" s="2" t="n">
        <v>2</v>
      </c>
    </row>
    <row r="51" customFormat="false" ht="15" hidden="false" customHeight="false" outlineLevel="0" collapsed="false">
      <c r="A51" s="1" t="s">
        <v>1570</v>
      </c>
      <c r="D51" s="3" t="n">
        <f aca="false">SUMPRODUCT(D39:D50,F39:F50)</f>
        <v>12</v>
      </c>
      <c r="E51" s="2" t="s">
        <v>1571</v>
      </c>
    </row>
    <row r="53" customFormat="false" ht="15" hidden="false" customHeight="false" outlineLevel="0" collapsed="false">
      <c r="A53" s="2" t="s">
        <v>1572</v>
      </c>
    </row>
    <row r="55" customFormat="false" ht="15" hidden="false" customHeight="false" outlineLevel="0" collapsed="false">
      <c r="A55" s="1" t="s">
        <v>1573</v>
      </c>
    </row>
    <row r="56" customFormat="false" ht="15" hidden="false" customHeight="false" outlineLevel="0" collapsed="false">
      <c r="A56" s="2" t="s">
        <v>1574</v>
      </c>
      <c r="B56" s="2" t="n">
        <v>32</v>
      </c>
      <c r="C56" s="2" t="s">
        <v>1318</v>
      </c>
      <c r="D56" s="2" t="s">
        <v>1575</v>
      </c>
    </row>
    <row r="57" customFormat="false" ht="15" hidden="false" customHeight="false" outlineLevel="0" collapsed="false">
      <c r="A57" s="2" t="s">
        <v>1576</v>
      </c>
    </row>
    <row r="59" customFormat="false" ht="15" hidden="false" customHeight="false" outlineLevel="0" collapsed="false">
      <c r="A59" s="1" t="s">
        <v>1577</v>
      </c>
    </row>
    <row r="60" customFormat="false" ht="15" hidden="false" customHeight="false" outlineLevel="0" collapsed="false">
      <c r="A60" s="2" t="s">
        <v>105</v>
      </c>
      <c r="B60" s="2" t="n">
        <v>4</v>
      </c>
      <c r="C60" s="2" t="s">
        <v>1578</v>
      </c>
      <c r="D60" s="2" t="s">
        <v>1319</v>
      </c>
    </row>
    <row r="61" customFormat="false" ht="15" hidden="false" customHeight="false" outlineLevel="0" collapsed="false">
      <c r="A61" s="2" t="s">
        <v>1579</v>
      </c>
      <c r="B61" s="2" t="n">
        <f aca="false">B60*B13</f>
        <v>26</v>
      </c>
      <c r="C61" s="2" t="s">
        <v>1531</v>
      </c>
      <c r="D61" s="2" t="s">
        <v>1580</v>
      </c>
    </row>
    <row r="62" customFormat="false" ht="15" hidden="false" customHeight="false" outlineLevel="0" collapsed="false">
      <c r="A62" s="2" t="s">
        <v>24</v>
      </c>
      <c r="B62" s="2" t="n">
        <v>22</v>
      </c>
      <c r="C62" s="2" t="s">
        <v>1581</v>
      </c>
      <c r="D62" s="2" t="s">
        <v>1582</v>
      </c>
    </row>
    <row r="63" customFormat="false" ht="15" hidden="false" customHeight="false" outlineLevel="0" collapsed="false">
      <c r="A63" s="2" t="s">
        <v>1583</v>
      </c>
      <c r="B63" s="2" t="n">
        <v>0.75</v>
      </c>
      <c r="C63" s="2"/>
      <c r="D63" s="2" t="s">
        <v>1584</v>
      </c>
    </row>
    <row r="64" customFormat="false" ht="15" hidden="false" customHeight="false" outlineLevel="0" collapsed="false">
      <c r="A64" s="2" t="s">
        <v>1585</v>
      </c>
      <c r="B64" s="2" t="n">
        <v>125</v>
      </c>
      <c r="C64" s="2" t="s">
        <v>1318</v>
      </c>
      <c r="D64" s="2" t="s">
        <v>1319</v>
      </c>
    </row>
    <row r="65" customFormat="false" ht="15" hidden="false" customHeight="false" outlineLevel="0" collapsed="false">
      <c r="A65" s="2" t="s">
        <v>20</v>
      </c>
      <c r="B65" s="2" t="n">
        <v>0.5</v>
      </c>
      <c r="C65" s="2" t="s">
        <v>1507</v>
      </c>
      <c r="D65" s="2" t="s">
        <v>239</v>
      </c>
    </row>
    <row r="66" customFormat="false" ht="15" hidden="false" customHeight="false" outlineLevel="0" collapsed="false">
      <c r="A66" s="2" t="s">
        <v>1586</v>
      </c>
      <c r="B66" s="2" t="n">
        <f aca="false">(B27+B62*(B28+B29))*B63</f>
        <v>11.8125</v>
      </c>
      <c r="C66" s="2" t="s">
        <v>1531</v>
      </c>
      <c r="D66" s="2"/>
    </row>
    <row r="67" customFormat="false" ht="15" hidden="false" customHeight="false" outlineLevel="0" collapsed="false">
      <c r="A67" s="2" t="s">
        <v>1587</v>
      </c>
      <c r="B67" s="2" t="n">
        <f aca="false">MAX(2,ROUNDUP(B64/B56,0))</f>
        <v>4</v>
      </c>
      <c r="C67" s="2" t="s">
        <v>1578</v>
      </c>
      <c r="D67" s="2"/>
    </row>
    <row r="68" customFormat="false" ht="15" hidden="false" customHeight="false" outlineLevel="0" collapsed="false">
      <c r="A68" s="2" t="s">
        <v>1588</v>
      </c>
      <c r="B68" s="2" t="n">
        <f aca="false">B67*B65*G41</f>
        <v>4</v>
      </c>
      <c r="C68" s="2" t="s">
        <v>1531</v>
      </c>
      <c r="D68" s="2"/>
    </row>
    <row r="69" customFormat="false" ht="15" hidden="false" customHeight="false" outlineLevel="0" collapsed="false">
      <c r="A69" s="2" t="s">
        <v>1526</v>
      </c>
      <c r="B69" s="3" t="n">
        <f aca="false">D22</f>
        <v>2</v>
      </c>
      <c r="C69" s="2" t="s">
        <v>1531</v>
      </c>
      <c r="D69" s="2"/>
    </row>
    <row r="70" customFormat="false" ht="15" hidden="false" customHeight="false" outlineLevel="0" collapsed="false">
      <c r="A70" s="2" t="s">
        <v>1589</v>
      </c>
      <c r="B70" s="2" t="n">
        <f aca="false">SUMPRODUCT(D39:D50,G39:G50)</f>
        <v>21.8332432270079</v>
      </c>
      <c r="C70" s="2" t="s">
        <v>1531</v>
      </c>
      <c r="D70" s="2" t="s">
        <v>1590</v>
      </c>
    </row>
    <row r="71" customFormat="false" ht="15" hidden="false" customHeight="false" outlineLevel="0" collapsed="false">
      <c r="A71" s="2" t="s">
        <v>1591</v>
      </c>
      <c r="B71" s="16" t="n">
        <f aca="false">(B61-B66-B68-B69)/B70</f>
        <v>0.375001547634115</v>
      </c>
      <c r="C71" s="2" t="s">
        <v>1592</v>
      </c>
      <c r="D71" s="2" t="s">
        <v>1593</v>
      </c>
    </row>
    <row r="73" customFormat="false" ht="15" hidden="false" customHeight="false" outlineLevel="0" collapsed="false">
      <c r="A73" s="2" t="s">
        <v>1594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6"/>
    <col collapsed="false" customWidth="true" hidden="false" outlineLevel="0" max="3" min="3" style="0" width="10"/>
    <col collapsed="false" customWidth="true" hidden="false" outlineLevel="0" max="4" min="4" style="0" width="60"/>
  </cols>
  <sheetData>
    <row r="1" customFormat="false" ht="15" hidden="false" customHeight="false" outlineLevel="0" collapsed="false">
      <c r="A1" s="1" t="s">
        <v>1595</v>
      </c>
    </row>
    <row r="2" customFormat="false" ht="15" hidden="false" customHeight="false" outlineLevel="0" collapsed="false">
      <c r="A2" s="1" t="s">
        <v>39</v>
      </c>
      <c r="B2" s="1" t="s">
        <v>1311</v>
      </c>
      <c r="C2" s="1" t="s">
        <v>42</v>
      </c>
      <c r="D2" s="1" t="s">
        <v>1312</v>
      </c>
    </row>
    <row r="3" customFormat="false" ht="15" hidden="false" customHeight="false" outlineLevel="0" collapsed="false">
      <c r="A3" s="1" t="s">
        <v>1596</v>
      </c>
    </row>
    <row r="4" customFormat="false" ht="15" hidden="false" customHeight="false" outlineLevel="0" collapsed="false">
      <c r="A4" s="2" t="s">
        <v>1597</v>
      </c>
      <c r="B4" s="5" t="n">
        <v>1150000</v>
      </c>
      <c r="C4" s="2" t="s">
        <v>1324</v>
      </c>
      <c r="D4" s="2" t="s">
        <v>1598</v>
      </c>
    </row>
    <row r="5" customFormat="false" ht="15" hidden="false" customHeight="false" outlineLevel="0" collapsed="false">
      <c r="A5" s="2" t="s">
        <v>1599</v>
      </c>
      <c r="B5" s="2" t="n">
        <v>10</v>
      </c>
      <c r="C5" s="2" t="s">
        <v>1600</v>
      </c>
      <c r="D5" s="2" t="s">
        <v>1601</v>
      </c>
    </row>
    <row r="6" customFormat="false" ht="15" hidden="false" customHeight="false" outlineLevel="0" collapsed="false">
      <c r="A6" s="2" t="s">
        <v>1602</v>
      </c>
      <c r="B6" s="5" t="n">
        <v>25000</v>
      </c>
      <c r="C6" s="2" t="s">
        <v>1324</v>
      </c>
      <c r="D6" s="2" t="s">
        <v>239</v>
      </c>
    </row>
    <row r="7" customFormat="false" ht="15" hidden="false" customHeight="false" outlineLevel="0" collapsed="false">
      <c r="A7" s="2" t="s">
        <v>1603</v>
      </c>
      <c r="B7" s="2" t="n">
        <v>250</v>
      </c>
      <c r="C7" s="2" t="s">
        <v>1348</v>
      </c>
      <c r="D7" s="2" t="s">
        <v>239</v>
      </c>
    </row>
    <row r="8" customFormat="false" ht="15" hidden="false" customHeight="false" outlineLevel="0" collapsed="false">
      <c r="A8" s="2" t="s">
        <v>1604</v>
      </c>
      <c r="B8" s="5" t="n">
        <f aca="false">(B4/B5+B6)/B7</f>
        <v>560</v>
      </c>
      <c r="C8" s="2" t="s">
        <v>1324</v>
      </c>
      <c r="D8" s="2"/>
    </row>
    <row r="9" customFormat="false" ht="15" hidden="false" customHeight="false" outlineLevel="0" collapsed="false">
      <c r="A9" s="2" t="s">
        <v>1328</v>
      </c>
      <c r="B9" s="5" t="n">
        <f aca="false">DRIVERS!B10</f>
        <v>100</v>
      </c>
      <c r="C9" s="2" t="s">
        <v>1329</v>
      </c>
      <c r="D9" s="2" t="s">
        <v>1605</v>
      </c>
    </row>
    <row r="10" customFormat="false" ht="15" hidden="false" customHeight="false" outlineLevel="0" collapsed="false">
      <c r="A10" s="2" t="s">
        <v>1606</v>
      </c>
      <c r="B10" s="2" t="n">
        <v>10</v>
      </c>
      <c r="C10" s="2" t="s">
        <v>1332</v>
      </c>
      <c r="D10" s="2" t="s">
        <v>239</v>
      </c>
    </row>
    <row r="11" customFormat="false" ht="15" hidden="false" customHeight="false" outlineLevel="0" collapsed="false">
      <c r="A11" s="2" t="s">
        <v>1607</v>
      </c>
      <c r="B11" s="5" t="n">
        <v>2</v>
      </c>
      <c r="C11" s="2" t="s">
        <v>1335</v>
      </c>
      <c r="D11" s="2" t="s">
        <v>239</v>
      </c>
    </row>
    <row r="12" customFormat="false" ht="15" hidden="false" customHeight="false" outlineLevel="0" collapsed="false">
      <c r="A12" s="2" t="s">
        <v>1337</v>
      </c>
      <c r="B12" s="5" t="n">
        <f aca="false">B9/B10+B11</f>
        <v>12</v>
      </c>
      <c r="C12" s="2" t="s">
        <v>1335</v>
      </c>
      <c r="D12" s="2"/>
    </row>
    <row r="13" customFormat="false" ht="15" hidden="false" customHeight="false" outlineLevel="0" collapsed="false">
      <c r="A13" s="1" t="s">
        <v>1608</v>
      </c>
    </row>
    <row r="14" customFormat="false" ht="15" hidden="false" customHeight="false" outlineLevel="0" collapsed="false">
      <c r="A14" s="2" t="s">
        <v>1609</v>
      </c>
      <c r="B14" s="2" t="n">
        <f aca="false">ROUTE!G13</f>
        <v>10</v>
      </c>
      <c r="C14" s="2" t="s">
        <v>1343</v>
      </c>
      <c r="D14" s="2" t="s">
        <v>1610</v>
      </c>
    </row>
    <row r="15" customFormat="false" ht="15" hidden="false" customHeight="false" outlineLevel="0" collapsed="false">
      <c r="A15" s="2" t="s">
        <v>1611</v>
      </c>
      <c r="B15" s="5" t="n">
        <v>0</v>
      </c>
      <c r="C15" s="2" t="s">
        <v>1324</v>
      </c>
      <c r="D15" s="2" t="s">
        <v>10</v>
      </c>
    </row>
    <row r="16" customFormat="false" ht="15" hidden="false" customHeight="false" outlineLevel="0" collapsed="false">
      <c r="A16" s="2" t="s">
        <v>1612</v>
      </c>
      <c r="B16" s="2" t="n">
        <v>0.25</v>
      </c>
      <c r="C16" s="2" t="s">
        <v>1507</v>
      </c>
      <c r="D16" s="2" t="s">
        <v>239</v>
      </c>
    </row>
    <row r="17" customFormat="false" ht="15" hidden="false" customHeight="false" outlineLevel="0" collapsed="false">
      <c r="A17" s="2" t="s">
        <v>1613</v>
      </c>
      <c r="B17" s="5" t="n">
        <f aca="false">B8+2*B14*B12+B15</f>
        <v>800</v>
      </c>
      <c r="C17" s="2" t="s">
        <v>1324</v>
      </c>
      <c r="D17" s="2" t="s">
        <v>1614</v>
      </c>
    </row>
    <row r="18" customFormat="false" ht="15" hidden="false" customHeight="false" outlineLevel="0" collapsed="false">
      <c r="A18" s="2" t="s">
        <v>1615</v>
      </c>
      <c r="B18" s="2" t="n">
        <f aca="false">2*B16</f>
        <v>0.5</v>
      </c>
      <c r="C18" s="2" t="s">
        <v>1507</v>
      </c>
      <c r="D18" s="2" t="s">
        <v>1616</v>
      </c>
    </row>
    <row r="19" customFormat="false" ht="15" hidden="false" customHeight="false" outlineLevel="0" collapsed="false">
      <c r="A19" s="1" t="s">
        <v>1617</v>
      </c>
    </row>
    <row r="20" customFormat="false" ht="15" hidden="false" customHeight="false" outlineLevel="0" collapsed="false">
      <c r="A20" s="2" t="s">
        <v>1618</v>
      </c>
      <c r="B20" s="5" t="n">
        <v>500</v>
      </c>
      <c r="C20" s="2" t="s">
        <v>1619</v>
      </c>
      <c r="D20" s="2" t="s">
        <v>1620</v>
      </c>
    </row>
    <row r="22" customFormat="false" ht="15" hidden="false" customHeight="false" outlineLevel="0" collapsed="false">
      <c r="A22" s="2" t="s">
        <v>1621</v>
      </c>
    </row>
    <row r="23" customFormat="false" ht="15" hidden="false" customHeight="false" outlineLevel="0" collapsed="false">
      <c r="A23" s="2" t="s">
        <v>1622</v>
      </c>
    </row>
    <row r="24" customFormat="false" ht="15" hidden="false" customHeight="false" outlineLevel="0" collapsed="false">
      <c r="A24" s="2" t="s">
        <v>1623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8"/>
    <col collapsed="false" customWidth="true" hidden="false" outlineLevel="0" max="3" min="3" style="0" width="8"/>
    <col collapsed="false" customWidth="true" hidden="false" outlineLevel="0" max="5" min="4" style="0" width="14"/>
    <col collapsed="false" customWidth="true" hidden="false" outlineLevel="0" max="7" min="6" style="0" width="16"/>
    <col collapsed="false" customWidth="true" hidden="false" outlineLevel="0" max="8" min="8" style="0" width="14"/>
    <col collapsed="false" customWidth="true" hidden="false" outlineLevel="0" max="9" min="9" style="0" width="10"/>
    <col collapsed="false" customWidth="true" hidden="false" outlineLevel="0" max="10" min="10" style="0" width="14"/>
  </cols>
  <sheetData>
    <row r="1" customFormat="false" ht="15" hidden="false" customHeight="false" outlineLevel="0" collapsed="false">
      <c r="A1" s="1" t="s">
        <v>1624</v>
      </c>
    </row>
    <row r="3" customFormat="false" ht="15" hidden="false" customHeight="false" outlineLevel="0" collapsed="false">
      <c r="A3" s="1" t="s">
        <v>1625</v>
      </c>
    </row>
    <row r="4" customFormat="false" ht="15" hidden="false" customHeight="false" outlineLevel="0" collapsed="false">
      <c r="A4" s="1" t="s">
        <v>1626</v>
      </c>
      <c r="B4" s="1" t="s">
        <v>1627</v>
      </c>
      <c r="C4" s="1" t="s">
        <v>1628</v>
      </c>
      <c r="D4" s="1" t="s">
        <v>1629</v>
      </c>
      <c r="E4" s="1" t="s">
        <v>1630</v>
      </c>
      <c r="F4" s="1" t="s">
        <v>52</v>
      </c>
    </row>
    <row r="5" customFormat="false" ht="15" hidden="false" customHeight="false" outlineLevel="0" collapsed="false">
      <c r="A5" s="2" t="s">
        <v>1631</v>
      </c>
      <c r="B5" s="2" t="s">
        <v>1632</v>
      </c>
      <c r="C5" s="5" t="n">
        <v>45061</v>
      </c>
      <c r="D5" s="5" t="n">
        <v>44398</v>
      </c>
      <c r="E5" s="17" t="n">
        <f aca="false">D5/C5</f>
        <v>0.985286611482213</v>
      </c>
      <c r="F5" s="2" t="s">
        <v>1633</v>
      </c>
    </row>
    <row r="6" customFormat="false" ht="15" hidden="false" customHeight="false" outlineLevel="0" collapsed="false">
      <c r="A6" s="2" t="s">
        <v>1634</v>
      </c>
      <c r="B6" s="2" t="s">
        <v>1635</v>
      </c>
      <c r="C6" s="5" t="n">
        <v>16440</v>
      </c>
      <c r="D6" s="5" t="n">
        <v>16960</v>
      </c>
      <c r="E6" s="17" t="n">
        <f aca="false">D6/C6</f>
        <v>1.0316301703163</v>
      </c>
      <c r="F6" s="2" t="s">
        <v>1636</v>
      </c>
    </row>
    <row r="7" customFormat="false" ht="15" hidden="false" customHeight="false" outlineLevel="0" collapsed="false">
      <c r="A7" s="2" t="s">
        <v>1637</v>
      </c>
      <c r="B7" s="2" t="s">
        <v>1638</v>
      </c>
      <c r="C7" s="5" t="n">
        <v>1255</v>
      </c>
      <c r="D7" s="5" t="n">
        <v>1255</v>
      </c>
      <c r="E7" s="17" t="n">
        <f aca="false">D7/C7</f>
        <v>1</v>
      </c>
      <c r="F7" s="2" t="s">
        <v>1639</v>
      </c>
    </row>
    <row r="8" customFormat="false" ht="15" hidden="false" customHeight="false" outlineLevel="0" collapsed="false">
      <c r="A8" s="2" t="s">
        <v>1640</v>
      </c>
      <c r="B8" s="2" t="s">
        <v>1641</v>
      </c>
      <c r="C8" s="5" t="n">
        <v>44158</v>
      </c>
      <c r="D8" s="5" t="n">
        <v>44008</v>
      </c>
      <c r="E8" s="17" t="n">
        <f aca="false">D8/C8</f>
        <v>0.996603107024775</v>
      </c>
      <c r="F8" s="2" t="s">
        <v>1642</v>
      </c>
    </row>
    <row r="9" customFormat="false" ht="15" hidden="false" customHeight="false" outlineLevel="0" collapsed="false">
      <c r="A9" s="2" t="s">
        <v>1643</v>
      </c>
      <c r="B9" s="2" t="s">
        <v>1632</v>
      </c>
      <c r="C9" s="5" t="n">
        <v>2297</v>
      </c>
      <c r="D9" s="5" t="n">
        <v>2297</v>
      </c>
      <c r="E9" s="17" t="n">
        <f aca="false">D9/C9</f>
        <v>1</v>
      </c>
      <c r="F9" s="2"/>
    </row>
    <row r="10" customFormat="false" ht="15" hidden="false" customHeight="false" outlineLevel="0" collapsed="false">
      <c r="A10" s="2" t="s">
        <v>1644</v>
      </c>
      <c r="B10" s="2" t="s">
        <v>1641</v>
      </c>
      <c r="C10" s="5" t="n">
        <v>24980</v>
      </c>
      <c r="D10" s="5" t="n">
        <v>24230</v>
      </c>
      <c r="E10" s="17" t="n">
        <f aca="false">D10/C10</f>
        <v>0.969975980784628</v>
      </c>
      <c r="F10" s="2" t="s">
        <v>1645</v>
      </c>
    </row>
    <row r="11" customFormat="false" ht="15" hidden="false" customHeight="false" outlineLevel="0" collapsed="false">
      <c r="A11" s="2" t="s">
        <v>1646</v>
      </c>
      <c r="B11" s="2" t="s">
        <v>1647</v>
      </c>
      <c r="C11" s="5" t="n">
        <v>1699</v>
      </c>
      <c r="D11" s="5" t="n">
        <v>1514</v>
      </c>
      <c r="E11" s="17" t="n">
        <f aca="false">D11/C11</f>
        <v>0.891112419070041</v>
      </c>
      <c r="F11" s="2" t="s">
        <v>1648</v>
      </c>
    </row>
    <row r="13" customFormat="false" ht="15" hidden="false" customHeight="false" outlineLevel="0" collapsed="false">
      <c r="A13" s="1" t="s">
        <v>1649</v>
      </c>
    </row>
    <row r="14" customFormat="false" ht="45" hidden="false" customHeight="true" outlineLevel="0" collapsed="false">
      <c r="A14" s="4" t="s">
        <v>39</v>
      </c>
      <c r="B14" s="4" t="s">
        <v>1626</v>
      </c>
      <c r="C14" s="4" t="s">
        <v>1650</v>
      </c>
      <c r="D14" s="4" t="s">
        <v>1651</v>
      </c>
      <c r="E14" s="4" t="s">
        <v>1652</v>
      </c>
      <c r="F14" s="4" t="s">
        <v>1653</v>
      </c>
      <c r="G14" s="4" t="s">
        <v>1654</v>
      </c>
      <c r="H14" s="4" t="s">
        <v>1655</v>
      </c>
      <c r="I14" s="4" t="s">
        <v>1656</v>
      </c>
      <c r="J14" s="4" t="s">
        <v>1657</v>
      </c>
    </row>
    <row r="15" customFormat="false" ht="15" hidden="false" customHeight="false" outlineLevel="0" collapsed="false">
      <c r="A15" s="2" t="s">
        <v>1658</v>
      </c>
      <c r="B15" s="2" t="s">
        <v>1631</v>
      </c>
      <c r="C15" s="2" t="n">
        <v>2</v>
      </c>
      <c r="D15" s="5" t="n">
        <v>11956</v>
      </c>
      <c r="E15" s="5" t="n">
        <f aca="false">C15*D15</f>
        <v>23912</v>
      </c>
      <c r="F15" s="5" t="n">
        <f aca="false">E15*INDEX($E$5:$E$11,MATCH(B15,$A$5:$A$11,0))</f>
        <v>23560.1734537627</v>
      </c>
      <c r="G15" s="2" t="s">
        <v>12</v>
      </c>
      <c r="H15" s="5" t="n">
        <f aca="false">IF(G15="Yes",F15/1.12,F15)</f>
        <v>21035.8691551452</v>
      </c>
      <c r="I15" s="2" t="n">
        <v>3</v>
      </c>
      <c r="J15" s="5" t="n">
        <f aca="false">H15/I15</f>
        <v>7011.95638504842</v>
      </c>
    </row>
    <row r="16" customFormat="false" ht="15" hidden="false" customHeight="false" outlineLevel="0" collapsed="false">
      <c r="A16" s="2" t="s">
        <v>1659</v>
      </c>
      <c r="B16" s="2" t="s">
        <v>1631</v>
      </c>
      <c r="C16" s="2" t="n">
        <v>1</v>
      </c>
      <c r="D16" s="5" t="n">
        <v>7772</v>
      </c>
      <c r="E16" s="5" t="n">
        <f aca="false">C16*D16</f>
        <v>7772</v>
      </c>
      <c r="F16" s="5" t="n">
        <f aca="false">E16*INDEX($E$5:$E$11,MATCH(B16,$A$5:$A$11,0))</f>
        <v>7657.64754443976</v>
      </c>
      <c r="G16" s="2" t="s">
        <v>12</v>
      </c>
      <c r="H16" s="5" t="n">
        <f aca="false">IF(G16="Yes",F16/1.12,F16)</f>
        <v>6837.1853075355</v>
      </c>
      <c r="I16" s="2" t="n">
        <v>3</v>
      </c>
      <c r="J16" s="5" t="n">
        <f aca="false">H16/I16</f>
        <v>2279.0617691785</v>
      </c>
    </row>
    <row r="17" customFormat="false" ht="15" hidden="false" customHeight="false" outlineLevel="0" collapsed="false">
      <c r="A17" s="2" t="s">
        <v>1660</v>
      </c>
      <c r="B17" s="2" t="s">
        <v>1631</v>
      </c>
      <c r="C17" s="2" t="n">
        <v>1</v>
      </c>
      <c r="D17" s="5" t="n">
        <v>5870</v>
      </c>
      <c r="E17" s="5" t="n">
        <f aca="false">C17*D17</f>
        <v>5870</v>
      </c>
      <c r="F17" s="5" t="n">
        <f aca="false">E17*INDEX($E$5:$E$11,MATCH(B17,$A$5:$A$11,0))</f>
        <v>5783.63240940059</v>
      </c>
      <c r="G17" s="2" t="s">
        <v>12</v>
      </c>
      <c r="H17" s="5" t="n">
        <f aca="false">IF(G17="Yes",F17/1.12,F17)</f>
        <v>5163.95750839338</v>
      </c>
      <c r="I17" s="2" t="n">
        <v>3</v>
      </c>
      <c r="J17" s="5" t="n">
        <f aca="false">H17/I17</f>
        <v>1721.31916946446</v>
      </c>
    </row>
    <row r="18" customFormat="false" ht="15" hidden="false" customHeight="false" outlineLevel="0" collapsed="false">
      <c r="A18" s="2" t="s">
        <v>1661</v>
      </c>
      <c r="B18" s="2" t="s">
        <v>1631</v>
      </c>
      <c r="C18" s="2" t="n">
        <v>1</v>
      </c>
      <c r="D18" s="5" t="n">
        <v>3467</v>
      </c>
      <c r="E18" s="5" t="n">
        <f aca="false">C18*D18</f>
        <v>3467</v>
      </c>
      <c r="F18" s="5" t="n">
        <f aca="false">E18*INDEX($E$5:$E$11,MATCH(B18,$A$5:$A$11,0))</f>
        <v>3415.98868200883</v>
      </c>
      <c r="G18" s="2" t="s">
        <v>12</v>
      </c>
      <c r="H18" s="5" t="n">
        <f aca="false">IF(G18="Yes",F18/1.12,F18)</f>
        <v>3049.98989465074</v>
      </c>
      <c r="I18" s="2" t="n">
        <v>3</v>
      </c>
      <c r="J18" s="5" t="n">
        <f aca="false">H18/I18</f>
        <v>1016.66329821691</v>
      </c>
    </row>
    <row r="19" customFormat="false" ht="15" hidden="false" customHeight="false" outlineLevel="0" collapsed="false">
      <c r="A19" s="2" t="s">
        <v>1662</v>
      </c>
      <c r="B19" s="2" t="s">
        <v>1631</v>
      </c>
      <c r="C19" s="2" t="n">
        <v>1</v>
      </c>
      <c r="D19" s="5" t="n">
        <v>1436</v>
      </c>
      <c r="E19" s="5" t="n">
        <f aca="false">C19*D19</f>
        <v>1436</v>
      </c>
      <c r="F19" s="5" t="n">
        <f aca="false">E19*INDEX($E$5:$E$11,MATCH(B19,$A$5:$A$11,0))</f>
        <v>1414.87157408846</v>
      </c>
      <c r="G19" s="2" t="s">
        <v>12</v>
      </c>
      <c r="H19" s="5" t="n">
        <f aca="false">IF(G19="Yes",F19/1.12,F19)</f>
        <v>1263.27819115041</v>
      </c>
      <c r="I19" s="2" t="n">
        <v>2</v>
      </c>
      <c r="J19" s="5" t="n">
        <f aca="false">H19/I19</f>
        <v>631.639095575204</v>
      </c>
    </row>
    <row r="20" customFormat="false" ht="15" hidden="false" customHeight="false" outlineLevel="0" collapsed="false">
      <c r="A20" s="2" t="s">
        <v>1663</v>
      </c>
      <c r="B20" s="2" t="s">
        <v>1631</v>
      </c>
      <c r="C20" s="2" t="n">
        <v>1</v>
      </c>
      <c r="D20" s="5" t="n">
        <v>1282</v>
      </c>
      <c r="E20" s="5" t="n">
        <f aca="false">C20*D20</f>
        <v>1282</v>
      </c>
      <c r="F20" s="5" t="n">
        <f aca="false">E20*INDEX($E$5:$E$11,MATCH(B20,$A$5:$A$11,0))</f>
        <v>1263.1374359202</v>
      </c>
      <c r="G20" s="2" t="s">
        <v>12</v>
      </c>
      <c r="H20" s="5" t="n">
        <f aca="false">IF(G20="Yes",F20/1.12,F20)</f>
        <v>1127.8012820716</v>
      </c>
      <c r="I20" s="2" t="n">
        <v>2</v>
      </c>
      <c r="J20" s="5" t="n">
        <f aca="false">H20/I20</f>
        <v>563.900641035802</v>
      </c>
    </row>
    <row r="21" customFormat="false" ht="15" hidden="false" customHeight="false" outlineLevel="0" collapsed="false">
      <c r="A21" s="2" t="s">
        <v>1664</v>
      </c>
      <c r="B21" s="2" t="s">
        <v>1631</v>
      </c>
      <c r="C21" s="2" t="n">
        <v>1</v>
      </c>
      <c r="D21" s="5" t="n">
        <v>770</v>
      </c>
      <c r="E21" s="5" t="n">
        <f aca="false">C21*D21</f>
        <v>770</v>
      </c>
      <c r="F21" s="5" t="n">
        <f aca="false">E21*INDEX($E$5:$E$11,MATCH(B21,$A$5:$A$11,0))</f>
        <v>758.670690841304</v>
      </c>
      <c r="G21" s="2" t="s">
        <v>12</v>
      </c>
      <c r="H21" s="5" t="n">
        <f aca="false">IF(G21="Yes",F21/1.12,F21)</f>
        <v>677.384545394021</v>
      </c>
      <c r="I21" s="2" t="n">
        <v>2</v>
      </c>
      <c r="J21" s="5" t="n">
        <f aca="false">H21/I21</f>
        <v>338.692272697011</v>
      </c>
    </row>
    <row r="22" customFormat="false" ht="15" hidden="false" customHeight="false" outlineLevel="0" collapsed="false">
      <c r="A22" s="2" t="s">
        <v>1665</v>
      </c>
      <c r="B22" s="2" t="s">
        <v>1631</v>
      </c>
      <c r="C22" s="2" t="n">
        <v>1</v>
      </c>
      <c r="D22" s="5" t="n">
        <v>552</v>
      </c>
      <c r="E22" s="5" t="n">
        <f aca="false">C22*D22</f>
        <v>552</v>
      </c>
      <c r="F22" s="5" t="n">
        <f aca="false">E22*INDEX($E$5:$E$11,MATCH(B22,$A$5:$A$11,0))</f>
        <v>543.878209538182</v>
      </c>
      <c r="G22" s="2" t="s">
        <v>12</v>
      </c>
      <c r="H22" s="5" t="n">
        <f aca="false">IF(G22="Yes",F22/1.12,F22)</f>
        <v>485.605544230519</v>
      </c>
      <c r="I22" s="2" t="n">
        <v>2</v>
      </c>
      <c r="J22" s="5" t="n">
        <f aca="false">H22/I22</f>
        <v>242.80277211526</v>
      </c>
    </row>
    <row r="23" customFormat="false" ht="15" hidden="false" customHeight="false" outlineLevel="0" collapsed="false">
      <c r="A23" s="2" t="s">
        <v>1666</v>
      </c>
      <c r="B23" s="2" t="s">
        <v>1634</v>
      </c>
      <c r="C23" s="2" t="n">
        <v>1</v>
      </c>
      <c r="D23" s="5" t="n">
        <v>8480</v>
      </c>
      <c r="E23" s="5" t="n">
        <f aca="false">C23*D23</f>
        <v>8480</v>
      </c>
      <c r="F23" s="5" t="n">
        <f aca="false">E23*INDEX($E$5:$E$11,MATCH(B23,$A$5:$A$11,0))</f>
        <v>8748.22384428224</v>
      </c>
      <c r="G23" s="2" t="s">
        <v>1388</v>
      </c>
      <c r="H23" s="5" t="n">
        <f aca="false">IF(G23="Yes",F23/1.12,F23)</f>
        <v>8748.22384428224</v>
      </c>
      <c r="I23" s="2" t="n">
        <v>5</v>
      </c>
      <c r="J23" s="5" t="n">
        <f aca="false">H23/I23</f>
        <v>1749.64476885645</v>
      </c>
    </row>
    <row r="24" customFormat="false" ht="15" hidden="false" customHeight="false" outlineLevel="0" collapsed="false">
      <c r="A24" s="2" t="s">
        <v>1667</v>
      </c>
      <c r="B24" s="2" t="s">
        <v>1637</v>
      </c>
      <c r="C24" s="2" t="n">
        <v>1</v>
      </c>
      <c r="D24" s="5" t="n">
        <v>1255</v>
      </c>
      <c r="E24" s="5" t="n">
        <f aca="false">C24*D24</f>
        <v>1255</v>
      </c>
      <c r="F24" s="5" t="n">
        <f aca="false">E24*INDEX($E$5:$E$11,MATCH(B24,$A$5:$A$11,0))</f>
        <v>1255</v>
      </c>
      <c r="G24" s="2" t="s">
        <v>1388</v>
      </c>
      <c r="H24" s="5" t="n">
        <f aca="false">IF(G24="Yes",F24/1.12,F24)</f>
        <v>1255</v>
      </c>
      <c r="I24" s="2" t="n">
        <v>2</v>
      </c>
      <c r="J24" s="5" t="n">
        <f aca="false">H24/I24</f>
        <v>627.5</v>
      </c>
    </row>
    <row r="25" customFormat="false" ht="15" hidden="false" customHeight="false" outlineLevel="0" collapsed="false">
      <c r="A25" s="2" t="s">
        <v>1668</v>
      </c>
      <c r="B25" s="2" t="s">
        <v>1640</v>
      </c>
      <c r="C25" s="2" t="n">
        <v>1</v>
      </c>
      <c r="D25" s="5" t="n">
        <v>21680</v>
      </c>
      <c r="E25" s="5" t="n">
        <f aca="false">C25*D25</f>
        <v>21680</v>
      </c>
      <c r="F25" s="5" t="n">
        <f aca="false">E25*INDEX($E$5:$E$11,MATCH(B25,$A$5:$A$11,0))</f>
        <v>21606.3553602971</v>
      </c>
      <c r="G25" s="2" t="s">
        <v>1388</v>
      </c>
      <c r="H25" s="5" t="n">
        <f aca="false">IF(G25="Yes",F25/1.12,F25)</f>
        <v>21606.3553602971</v>
      </c>
      <c r="I25" s="2" t="n">
        <v>5</v>
      </c>
      <c r="J25" s="5" t="n">
        <f aca="false">H25/I25</f>
        <v>4321.27107205942</v>
      </c>
    </row>
    <row r="26" customFormat="false" ht="15" hidden="false" customHeight="false" outlineLevel="0" collapsed="false">
      <c r="A26" s="2" t="s">
        <v>1669</v>
      </c>
      <c r="B26" s="2" t="s">
        <v>1640</v>
      </c>
      <c r="C26" s="2" t="n">
        <v>1</v>
      </c>
      <c r="D26" s="5" t="n">
        <v>16098</v>
      </c>
      <c r="E26" s="5" t="n">
        <f aca="false">C26*D26</f>
        <v>16098</v>
      </c>
      <c r="F26" s="5" t="n">
        <f aca="false">E26*INDEX($E$5:$E$11,MATCH(B26,$A$5:$A$11,0))</f>
        <v>16043.3168168848</v>
      </c>
      <c r="G26" s="2" t="s">
        <v>1388</v>
      </c>
      <c r="H26" s="5" t="n">
        <f aca="false">IF(G26="Yes",F26/1.12,F26)</f>
        <v>16043.3168168848</v>
      </c>
      <c r="I26" s="2" t="n">
        <v>5</v>
      </c>
      <c r="J26" s="5" t="n">
        <f aca="false">H26/I26</f>
        <v>3208.66336337696</v>
      </c>
    </row>
    <row r="27" customFormat="false" ht="15" hidden="false" customHeight="false" outlineLevel="0" collapsed="false">
      <c r="A27" s="2" t="s">
        <v>1670</v>
      </c>
      <c r="B27" s="2" t="s">
        <v>1640</v>
      </c>
      <c r="C27" s="2" t="n">
        <v>1</v>
      </c>
      <c r="D27" s="5" t="n">
        <v>6380</v>
      </c>
      <c r="E27" s="5" t="n">
        <f aca="false">C27*D27</f>
        <v>6380</v>
      </c>
      <c r="F27" s="5" t="n">
        <f aca="false">E27*INDEX($E$5:$E$11,MATCH(B27,$A$5:$A$11,0))</f>
        <v>6358.32782281806</v>
      </c>
      <c r="G27" s="2" t="s">
        <v>1388</v>
      </c>
      <c r="H27" s="5" t="n">
        <f aca="false">IF(G27="Yes",F27/1.12,F27)</f>
        <v>6358.32782281806</v>
      </c>
      <c r="I27" s="2" t="n">
        <v>5</v>
      </c>
      <c r="J27" s="5" t="n">
        <f aca="false">H27/I27</f>
        <v>1271.66556456361</v>
      </c>
    </row>
    <row r="28" customFormat="false" ht="15" hidden="false" customHeight="false" outlineLevel="0" collapsed="false">
      <c r="A28" s="2" t="s">
        <v>1671</v>
      </c>
      <c r="B28" s="2" t="s">
        <v>1643</v>
      </c>
      <c r="C28" s="2" t="n">
        <v>1</v>
      </c>
      <c r="D28" s="5" t="n">
        <v>1935</v>
      </c>
      <c r="E28" s="5" t="n">
        <f aca="false">C28*D28</f>
        <v>1935</v>
      </c>
      <c r="F28" s="5" t="n">
        <f aca="false">E28*INDEX($E$5:$E$11,MATCH(B28,$A$5:$A$11,0))</f>
        <v>1935</v>
      </c>
      <c r="G28" s="2" t="s">
        <v>12</v>
      </c>
      <c r="H28" s="5" t="n">
        <f aca="false">IF(G28="Yes",F28/1.12,F28)</f>
        <v>1727.67857142857</v>
      </c>
      <c r="I28" s="2" t="n">
        <v>3</v>
      </c>
      <c r="J28" s="5" t="n">
        <f aca="false">H28/I28</f>
        <v>575.892857142857</v>
      </c>
    </row>
    <row r="29" customFormat="false" ht="15" hidden="false" customHeight="false" outlineLevel="0" collapsed="false">
      <c r="A29" s="2" t="s">
        <v>1672</v>
      </c>
      <c r="B29" s="2" t="s">
        <v>1643</v>
      </c>
      <c r="C29" s="2" t="n">
        <v>1</v>
      </c>
      <c r="D29" s="5" t="n">
        <v>362</v>
      </c>
      <c r="E29" s="5" t="n">
        <f aca="false">C29*D29</f>
        <v>362</v>
      </c>
      <c r="F29" s="5" t="n">
        <f aca="false">E29*INDEX($E$5:$E$11,MATCH(B29,$A$5:$A$11,0))</f>
        <v>362</v>
      </c>
      <c r="G29" s="2" t="s">
        <v>12</v>
      </c>
      <c r="H29" s="5" t="n">
        <f aca="false">IF(G29="Yes",F29/1.12,F29)</f>
        <v>323.214285714286</v>
      </c>
      <c r="I29" s="2" t="n">
        <v>2</v>
      </c>
      <c r="J29" s="5" t="n">
        <f aca="false">H29/I29</f>
        <v>161.607142857143</v>
      </c>
    </row>
    <row r="30" customFormat="false" ht="15" hidden="false" customHeight="false" outlineLevel="0" collapsed="false">
      <c r="A30" s="2" t="s">
        <v>1673</v>
      </c>
      <c r="B30" s="2" t="s">
        <v>1644</v>
      </c>
      <c r="C30" s="2" t="n">
        <v>1</v>
      </c>
      <c r="D30" s="5" t="n">
        <v>24980</v>
      </c>
      <c r="E30" s="5" t="n">
        <f aca="false">C30*D30</f>
        <v>24980</v>
      </c>
      <c r="F30" s="5" t="n">
        <f aca="false">E30*INDEX($E$5:$E$11,MATCH(B30,$A$5:$A$11,0))</f>
        <v>24230</v>
      </c>
      <c r="G30" s="2" t="s">
        <v>1388</v>
      </c>
      <c r="H30" s="5" t="n">
        <f aca="false">IF(G30="Yes",F30/1.12,F30)</f>
        <v>24230</v>
      </c>
      <c r="I30" s="2" t="n">
        <v>5</v>
      </c>
      <c r="J30" s="5" t="n">
        <f aca="false">H30/I30</f>
        <v>4846</v>
      </c>
    </row>
    <row r="31" customFormat="false" ht="15" hidden="false" customHeight="false" outlineLevel="0" collapsed="false">
      <c r="A31" s="2" t="s">
        <v>1674</v>
      </c>
      <c r="B31" s="2" t="s">
        <v>1646</v>
      </c>
      <c r="C31" s="2" t="n">
        <v>1</v>
      </c>
      <c r="D31" s="5" t="n">
        <v>1699</v>
      </c>
      <c r="E31" s="5" t="n">
        <f aca="false">C31*D31</f>
        <v>1699</v>
      </c>
      <c r="F31" s="5" t="n">
        <f aca="false">E31*INDEX($E$5:$E$11,MATCH(B31,$A$5:$A$11,0))</f>
        <v>1514</v>
      </c>
      <c r="G31" s="2" t="s">
        <v>1388</v>
      </c>
      <c r="H31" s="5" t="n">
        <f aca="false">IF(G31="Yes",F31/1.12,F31)</f>
        <v>1514</v>
      </c>
      <c r="I31" s="2" t="n">
        <v>2</v>
      </c>
      <c r="J31" s="5" t="n">
        <f aca="false">H31/I31</f>
        <v>757</v>
      </c>
    </row>
    <row r="32" customFormat="false" ht="15" hidden="false" customHeight="false" outlineLevel="0" collapsed="false">
      <c r="A32" s="1" t="s">
        <v>138</v>
      </c>
      <c r="E32" s="5" t="n">
        <f aca="false">SUM(E15:E31)</f>
        <v>127930</v>
      </c>
      <c r="F32" s="5" t="n">
        <f aca="false">SUM(F15:F31)</f>
        <v>126450.223844282</v>
      </c>
      <c r="H32" s="5" t="n">
        <f aca="false">SUM(H15:H31)</f>
        <v>121447.188129997</v>
      </c>
      <c r="J32" s="5" t="n">
        <f aca="false">SUM(J15:J31)</f>
        <v>31325.280172188</v>
      </c>
    </row>
    <row r="34" customFormat="false" ht="15" hidden="false" customHeight="false" outlineLevel="0" collapsed="false">
      <c r="A34" s="1" t="s">
        <v>1675</v>
      </c>
    </row>
    <row r="35" customFormat="false" ht="15" hidden="false" customHeight="false" outlineLevel="0" collapsed="false">
      <c r="A35" s="2" t="s">
        <v>1676</v>
      </c>
      <c r="B35" s="6" t="n">
        <v>0.1</v>
      </c>
      <c r="C35" s="2" t="s">
        <v>239</v>
      </c>
    </row>
    <row r="36" customFormat="false" ht="15" hidden="false" customHeight="false" outlineLevel="0" collapsed="false">
      <c r="A36" s="2" t="s">
        <v>1677</v>
      </c>
      <c r="B36" s="2" t="n">
        <v>48</v>
      </c>
      <c r="C36" s="2" t="s">
        <v>1678</v>
      </c>
    </row>
    <row r="37" customFormat="false" ht="15" hidden="false" customHeight="false" outlineLevel="0" collapsed="false">
      <c r="A37" s="2" t="s">
        <v>1679</v>
      </c>
      <c r="B37" s="5" t="n">
        <f aca="false">J32+B35*H32</f>
        <v>43469.9989851877</v>
      </c>
    </row>
    <row r="38" customFormat="false" ht="15" hidden="false" customHeight="false" outlineLevel="0" collapsed="false">
      <c r="A38" s="1" t="s">
        <v>1680</v>
      </c>
      <c r="B38" s="5" t="n">
        <f aca="false">B37/B36</f>
        <v>905.624978858076</v>
      </c>
    </row>
    <row r="40" customFormat="false" ht="15" hidden="false" customHeight="false" outlineLevel="0" collapsed="false">
      <c r="A40" s="2" t="s">
        <v>1681</v>
      </c>
    </row>
    <row r="41" customFormat="false" ht="15" hidden="false" customHeight="false" outlineLevel="0" collapsed="false">
      <c r="A41" s="2" t="s">
        <v>1682</v>
      </c>
    </row>
    <row r="42" customFormat="false" ht="15" hidden="false" customHeight="false" outlineLevel="0" collapsed="false">
      <c r="A42" s="2" t="s">
        <v>1683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9" min="2" style="0" width="17"/>
    <col collapsed="false" customWidth="true" hidden="false" outlineLevel="0" max="10" min="10" style="0" width="70"/>
  </cols>
  <sheetData>
    <row r="1" customFormat="false" ht="15" hidden="false" customHeight="false" outlineLevel="0" collapsed="false">
      <c r="A1" s="1" t="s">
        <v>1684</v>
      </c>
    </row>
    <row r="3" customFormat="false" ht="45" hidden="false" customHeight="true" outlineLevel="0" collapsed="false">
      <c r="A3" s="1" t="s">
        <v>1685</v>
      </c>
      <c r="B3" s="4" t="s">
        <v>1686</v>
      </c>
      <c r="C3" s="4" t="s">
        <v>1687</v>
      </c>
      <c r="D3" s="4" t="s">
        <v>1688</v>
      </c>
      <c r="E3" s="4" t="s">
        <v>1689</v>
      </c>
      <c r="F3" s="4" t="s">
        <v>1690</v>
      </c>
      <c r="G3" s="4" t="s">
        <v>1691</v>
      </c>
      <c r="H3" s="4" t="s">
        <v>1692</v>
      </c>
      <c r="I3" s="4" t="s">
        <v>1693</v>
      </c>
      <c r="J3" s="1" t="s">
        <v>52</v>
      </c>
    </row>
    <row r="4" customFormat="false" ht="15" hidden="false" customHeight="false" outlineLevel="0" collapsed="false">
      <c r="A4" s="1" t="s">
        <v>1694</v>
      </c>
    </row>
    <row r="5" customFormat="false" ht="15" hidden="false" customHeight="false" outlineLevel="0" collapsed="false">
      <c r="A5" s="2" t="s">
        <v>24</v>
      </c>
      <c r="B5" s="2" t="n">
        <v>5</v>
      </c>
      <c r="C5" s="2" t="n">
        <v>8</v>
      </c>
      <c r="D5" s="2" t="n">
        <v>11</v>
      </c>
      <c r="E5" s="2" t="n">
        <v>14</v>
      </c>
      <c r="F5" s="2" t="n">
        <v>17</v>
      </c>
      <c r="G5" s="2" t="n">
        <f aca="false">'LABOR RATES'!B24</f>
        <v>16</v>
      </c>
      <c r="H5" s="2" t="n">
        <f aca="false">'LABOR RATES'!B62</f>
        <v>22</v>
      </c>
      <c r="I5" s="3" t="n">
        <f aca="false">JOB!B19</f>
        <v>8</v>
      </c>
      <c r="J5" s="2" t="s">
        <v>1695</v>
      </c>
    </row>
    <row r="6" customFormat="false" ht="15" hidden="false" customHeight="false" outlineLevel="0" collapsed="false">
      <c r="A6" s="2" t="s">
        <v>1696</v>
      </c>
      <c r="B6" s="2" t="n">
        <v>0</v>
      </c>
      <c r="C6" s="2" t="n">
        <v>1</v>
      </c>
      <c r="D6" s="2" t="n">
        <v>1</v>
      </c>
      <c r="E6" s="2" t="n">
        <v>1</v>
      </c>
      <c r="F6" s="2" t="n">
        <v>1</v>
      </c>
      <c r="G6" s="2" t="n">
        <f aca="false">'LABOR RATES'!$F$39</f>
        <v>0</v>
      </c>
      <c r="H6" s="2" t="n">
        <f aca="false">'LABOR RATES'!$G$39</f>
        <v>1</v>
      </c>
      <c r="I6" s="3" t="n">
        <f aca="false">JOB!B20</f>
        <v>1</v>
      </c>
    </row>
    <row r="7" customFormat="false" ht="15" hidden="false" customHeight="false" outlineLevel="0" collapsed="false">
      <c r="A7" s="2" t="s">
        <v>26</v>
      </c>
      <c r="B7" s="2" t="n">
        <v>1</v>
      </c>
      <c r="C7" s="2" t="n">
        <v>0</v>
      </c>
      <c r="D7" s="2" t="n">
        <v>0</v>
      </c>
      <c r="E7" s="2" t="n">
        <v>0</v>
      </c>
      <c r="F7" s="2" t="n">
        <v>0</v>
      </c>
      <c r="G7" s="2" t="n">
        <f aca="false">'LABOR RATES'!$F$40</f>
        <v>1</v>
      </c>
      <c r="H7" s="2" t="n">
        <f aca="false">'LABOR RATES'!$G$40</f>
        <v>1</v>
      </c>
      <c r="I7" s="3" t="n">
        <f aca="false">JOB!B21</f>
        <v>0</v>
      </c>
    </row>
    <row r="8" customFormat="false" ht="15" hidden="false" customHeight="false" outlineLevel="0" collapsed="false">
      <c r="A8" s="2" t="s">
        <v>27</v>
      </c>
      <c r="B8" s="2" t="n">
        <v>0</v>
      </c>
      <c r="C8" s="2" t="n">
        <v>1</v>
      </c>
      <c r="D8" s="2" t="n">
        <v>1</v>
      </c>
      <c r="E8" s="2" t="n">
        <v>2</v>
      </c>
      <c r="F8" s="2" t="n">
        <v>2</v>
      </c>
      <c r="G8" s="2" t="n">
        <f aca="false">'LABOR RATES'!$F$41</f>
        <v>0</v>
      </c>
      <c r="H8" s="2" t="n">
        <f aca="false">'LABOR RATES'!$G$41</f>
        <v>2</v>
      </c>
      <c r="I8" s="3" t="n">
        <f aca="false">JOB!B22</f>
        <v>1</v>
      </c>
    </row>
    <row r="9" customFormat="false" ht="15" hidden="false" customHeight="false" outlineLevel="0" collapsed="false">
      <c r="A9" s="2" t="s">
        <v>1697</v>
      </c>
      <c r="B9" s="2" t="n">
        <v>0</v>
      </c>
      <c r="C9" s="2" t="n">
        <v>110</v>
      </c>
      <c r="D9" s="2" t="n">
        <v>140.5</v>
      </c>
      <c r="E9" s="2" t="n">
        <v>88</v>
      </c>
      <c r="F9" s="2" t="n">
        <v>88</v>
      </c>
      <c r="G9" s="2" t="n">
        <v>0</v>
      </c>
      <c r="H9" s="2" t="n">
        <f aca="false">'LABOR RATES'!B64</f>
        <v>125</v>
      </c>
      <c r="I9" s="3" t="n">
        <f aca="false">JOB!B23</f>
        <v>111</v>
      </c>
      <c r="J9" s="2" t="s">
        <v>1698</v>
      </c>
    </row>
    <row r="10" customFormat="false" ht="15" hidden="false" customHeight="false" outlineLevel="0" collapsed="false">
      <c r="A10" s="2" t="s">
        <v>20</v>
      </c>
      <c r="B10" s="3" t="n">
        <v>0.5</v>
      </c>
      <c r="C10" s="3" t="n">
        <v>0.5</v>
      </c>
      <c r="D10" s="3" t="n">
        <v>0.5</v>
      </c>
      <c r="E10" s="3" t="n">
        <v>0.5</v>
      </c>
      <c r="F10" s="3" t="n">
        <v>0.5</v>
      </c>
      <c r="G10" s="3" t="n">
        <v>0.5</v>
      </c>
      <c r="H10" s="3" t="n">
        <f aca="false">'LABOR RATES'!B65</f>
        <v>0.5</v>
      </c>
      <c r="I10" s="3" t="n">
        <f aca="false">JOB!B15</f>
        <v>0.5</v>
      </c>
      <c r="J10" s="2" t="s">
        <v>1699</v>
      </c>
    </row>
    <row r="11" customFormat="false" ht="15" hidden="false" customHeight="false" outlineLevel="0" collapsed="false">
      <c r="A11" s="2" t="s">
        <v>1700</v>
      </c>
      <c r="B11" s="2" t="n">
        <v>2</v>
      </c>
      <c r="C11" s="2" t="n">
        <v>3</v>
      </c>
      <c r="D11" s="2" t="n">
        <v>3</v>
      </c>
      <c r="E11" s="2" t="n">
        <v>3</v>
      </c>
      <c r="F11" s="2" t="n">
        <v>3</v>
      </c>
      <c r="G11" s="2" t="n">
        <f aca="false">'LABOR RATES'!$F$42</f>
        <v>2</v>
      </c>
      <c r="H11" s="2" t="n">
        <f aca="false">'LABOR RATES'!$G$42</f>
        <v>3</v>
      </c>
      <c r="I11" s="3" t="n">
        <f aca="false">JOB!B24</f>
        <v>2</v>
      </c>
    </row>
    <row r="12" customFormat="false" ht="15" hidden="false" customHeight="false" outlineLevel="0" collapsed="false">
      <c r="A12" s="2" t="s">
        <v>30</v>
      </c>
      <c r="B12" s="2" t="n">
        <v>5</v>
      </c>
      <c r="C12" s="2" t="n">
        <v>13</v>
      </c>
      <c r="D12" s="2" t="n">
        <v>13</v>
      </c>
      <c r="E12" s="2" t="n">
        <v>13</v>
      </c>
      <c r="F12" s="2" t="n">
        <v>13</v>
      </c>
      <c r="G12" s="2" t="n">
        <f aca="false">'LABOR RATES'!$F$43</f>
        <v>6</v>
      </c>
      <c r="H12" s="2" t="n">
        <f aca="false">'LABOR RATES'!$G$43</f>
        <v>15</v>
      </c>
      <c r="I12" s="3" t="n">
        <f aca="false">JOB!B25</f>
        <v>13</v>
      </c>
    </row>
    <row r="13" customFormat="false" ht="15" hidden="false" customHeight="false" outlineLevel="0" collapsed="false">
      <c r="A13" s="2" t="s">
        <v>31</v>
      </c>
      <c r="B13" s="2" t="n">
        <v>20</v>
      </c>
      <c r="C13" s="2" t="n">
        <v>32</v>
      </c>
      <c r="D13" s="2" t="n">
        <v>32</v>
      </c>
      <c r="E13" s="2" t="n">
        <v>32</v>
      </c>
      <c r="F13" s="2" t="n">
        <v>32</v>
      </c>
      <c r="G13" s="2" t="n">
        <f aca="false">'LABOR RATES'!$F$44</f>
        <v>25</v>
      </c>
      <c r="H13" s="2" t="n">
        <f aca="false">'LABOR RATES'!$G$44</f>
        <v>30</v>
      </c>
      <c r="I13" s="3" t="n">
        <f aca="false">JOB!B26</f>
        <v>32</v>
      </c>
    </row>
    <row r="14" customFormat="false" ht="15" hidden="false" customHeight="false" outlineLevel="0" collapsed="false">
      <c r="A14" s="2" t="s">
        <v>1701</v>
      </c>
      <c r="B14" s="2" t="n">
        <v>50</v>
      </c>
      <c r="C14" s="2" t="n">
        <v>69</v>
      </c>
      <c r="D14" s="2" t="n">
        <v>76</v>
      </c>
      <c r="E14" s="2" t="n">
        <v>85</v>
      </c>
      <c r="F14" s="2" t="n">
        <v>92</v>
      </c>
      <c r="G14" s="2" t="n">
        <f aca="false">'LABOR RATES'!$F$45</f>
        <v>75</v>
      </c>
      <c r="H14" s="2" t="n">
        <f aca="false">'LABOR RATES'!$G$45</f>
        <v>90</v>
      </c>
      <c r="I14" s="3" t="n">
        <f aca="false">JOB!B27</f>
        <v>65</v>
      </c>
    </row>
    <row r="15" customFormat="false" ht="15" hidden="false" customHeight="false" outlineLevel="0" collapsed="false">
      <c r="A15" s="2" t="s">
        <v>34</v>
      </c>
      <c r="B15" s="2" t="n">
        <v>2</v>
      </c>
      <c r="C15" s="2" t="n">
        <v>4</v>
      </c>
      <c r="D15" s="2" t="n">
        <v>5</v>
      </c>
      <c r="E15" s="2" t="n">
        <v>6</v>
      </c>
      <c r="F15" s="2" t="n">
        <v>7</v>
      </c>
      <c r="G15" s="2" t="n">
        <f aca="false">'LABOR RATES'!$F$46</f>
        <v>2</v>
      </c>
      <c r="H15" s="2" t="n">
        <f aca="false">'LABOR RATES'!$G$46</f>
        <v>3</v>
      </c>
      <c r="I15" s="3" t="n">
        <f aca="false">JOB!B28</f>
        <v>4</v>
      </c>
    </row>
    <row r="16" customFormat="false" ht="15" hidden="false" customHeight="false" outlineLevel="0" collapsed="false">
      <c r="A16" s="2" t="s">
        <v>35</v>
      </c>
      <c r="B16" s="2" t="n">
        <v>1</v>
      </c>
      <c r="C16" s="2" t="n">
        <v>1</v>
      </c>
      <c r="D16" s="2" t="n">
        <v>1</v>
      </c>
      <c r="E16" s="2" t="n">
        <v>1</v>
      </c>
      <c r="F16" s="2" t="n">
        <v>1</v>
      </c>
      <c r="G16" s="2" t="n">
        <f aca="false">'LABOR RATES'!$F$47</f>
        <v>1</v>
      </c>
      <c r="H16" s="2" t="n">
        <f aca="false">'LABOR RATES'!$G$47</f>
        <v>1</v>
      </c>
      <c r="I16" s="3" t="n">
        <f aca="false">JOB!B29</f>
        <v>1</v>
      </c>
    </row>
    <row r="17" customFormat="false" ht="15" hidden="false" customHeight="false" outlineLevel="0" collapsed="false">
      <c r="A17" s="2" t="s">
        <v>14</v>
      </c>
      <c r="B17" s="12" t="n">
        <f aca="false">'LABOR RATES'!$B$63</f>
        <v>0.75</v>
      </c>
      <c r="C17" s="12" t="n">
        <f aca="false">'LABOR RATES'!$B$63</f>
        <v>0.75</v>
      </c>
      <c r="D17" s="12" t="n">
        <f aca="false">'LABOR RATES'!$B$63</f>
        <v>0.75</v>
      </c>
      <c r="E17" s="12" t="n">
        <f aca="false">'LABOR RATES'!$B$63</f>
        <v>0.75</v>
      </c>
      <c r="F17" s="12" t="n">
        <f aca="false">'LABOR RATES'!$B$63</f>
        <v>0.75</v>
      </c>
      <c r="G17" s="12" t="n">
        <v>1</v>
      </c>
      <c r="H17" s="12" t="n">
        <f aca="false">'LABOR RATES'!$B$63</f>
        <v>0.75</v>
      </c>
      <c r="I17" s="12" t="n">
        <f aca="false">JOB!B11</f>
        <v>0.75</v>
      </c>
      <c r="J17" s="2" t="s">
        <v>1702</v>
      </c>
    </row>
    <row r="18" customFormat="false" ht="15" hidden="false" customHeight="false" outlineLevel="0" collapsed="false">
      <c r="A18" s="2" t="s">
        <v>16</v>
      </c>
      <c r="B18" s="2" t="n">
        <v>1</v>
      </c>
      <c r="C18" s="2" t="n">
        <v>1</v>
      </c>
      <c r="D18" s="2" t="n">
        <v>1</v>
      </c>
      <c r="E18" s="2" t="n">
        <v>1</v>
      </c>
      <c r="F18" s="2" t="n">
        <v>1</v>
      </c>
      <c r="G18" s="2" t="n">
        <v>1</v>
      </c>
      <c r="H18" s="2" t="n">
        <v>1</v>
      </c>
      <c r="I18" s="2" t="n">
        <f aca="false">JOB!B12</f>
        <v>1</v>
      </c>
      <c r="J18" s="2" t="s">
        <v>1703</v>
      </c>
    </row>
    <row r="19" customFormat="false" ht="15" hidden="false" customHeight="false" outlineLevel="0" collapsed="false">
      <c r="A19" s="2" t="s">
        <v>17</v>
      </c>
      <c r="B19" s="2" t="n">
        <v>2</v>
      </c>
      <c r="C19" s="2" t="n">
        <v>2</v>
      </c>
      <c r="D19" s="2" t="n">
        <v>2</v>
      </c>
      <c r="E19" s="2" t="n">
        <v>2</v>
      </c>
      <c r="F19" s="2" t="n">
        <v>2</v>
      </c>
      <c r="G19" s="2" t="n">
        <v>2</v>
      </c>
      <c r="H19" s="2" t="n">
        <v>2</v>
      </c>
      <c r="I19" s="2" t="n">
        <f aca="false">JOB!B13</f>
        <v>2</v>
      </c>
      <c r="J19" s="2" t="s">
        <v>10</v>
      </c>
    </row>
    <row r="20" customFormat="false" ht="15" hidden="false" customHeight="false" outlineLevel="0" collapsed="false">
      <c r="A20" s="2" t="s">
        <v>22</v>
      </c>
      <c r="B20" s="2" t="n">
        <v>0</v>
      </c>
      <c r="C20" s="2" t="n">
        <v>0</v>
      </c>
      <c r="D20" s="2" t="n">
        <v>0</v>
      </c>
      <c r="E20" s="2" t="n">
        <v>0</v>
      </c>
      <c r="F20" s="2" t="n">
        <v>0</v>
      </c>
      <c r="G20" s="2" t="n">
        <v>0</v>
      </c>
      <c r="H20" s="2" t="n">
        <v>0</v>
      </c>
      <c r="I20" s="2" t="n">
        <f aca="false">JOB!B16</f>
        <v>0</v>
      </c>
      <c r="J20" s="2" t="s">
        <v>1704</v>
      </c>
    </row>
    <row r="22" customFormat="false" ht="15" hidden="false" customHeight="false" outlineLevel="0" collapsed="false">
      <c r="A22" s="1" t="s">
        <v>1705</v>
      </c>
    </row>
    <row r="23" customFormat="false" ht="15" hidden="false" customHeight="false" outlineLevel="0" collapsed="false">
      <c r="A23" s="2" t="s">
        <v>1706</v>
      </c>
      <c r="B23" s="3" t="n">
        <f aca="false">IF(B5=0,0,('LABOR RATES'!$B$27+B5*'LABOR RATES'!$B$28)*B17)</f>
        <v>2.90625</v>
      </c>
      <c r="C23" s="3" t="n">
        <f aca="false">IF(C5=0,0,('LABOR RATES'!$B$27+C5*'LABOR RATES'!$B$28)*C17)</f>
        <v>3.75</v>
      </c>
      <c r="D23" s="3" t="n">
        <f aca="false">IF(D5=0,0,('LABOR RATES'!$B$27+D5*'LABOR RATES'!$B$28)*D17)</f>
        <v>4.59375</v>
      </c>
      <c r="E23" s="3" t="n">
        <f aca="false">IF(E5=0,0,('LABOR RATES'!$B$27+E5*'LABOR RATES'!$B$28)*E17)</f>
        <v>5.4375</v>
      </c>
      <c r="F23" s="3" t="n">
        <f aca="false">IF(F5=0,0,('LABOR RATES'!$B$27+F5*'LABOR RATES'!$B$28)*F17)</f>
        <v>6.28125</v>
      </c>
      <c r="G23" s="3" t="n">
        <f aca="false">IF(G5=0,0,('LABOR RATES'!$B$27+G5*'LABOR RATES'!$B$28)*G17)</f>
        <v>8</v>
      </c>
      <c r="H23" s="3" t="n">
        <f aca="false">IF(H5=0,0,('LABOR RATES'!$B$27+H5*'LABOR RATES'!$B$28)*H17)</f>
        <v>7.6875</v>
      </c>
      <c r="I23" s="3" t="n">
        <f aca="false">IF(I5=0,0,('LABOR RATES'!$B$27+I5*'LABOR RATES'!$B$28)*I17)</f>
        <v>3.75</v>
      </c>
    </row>
    <row r="24" customFormat="false" ht="15" hidden="false" customHeight="false" outlineLevel="0" collapsed="false">
      <c r="A24" s="2" t="s">
        <v>1707</v>
      </c>
      <c r="B24" s="3" t="n">
        <f aca="false">B5*'LABOR RATES'!$B$29*B17</f>
        <v>0.9375</v>
      </c>
      <c r="C24" s="3" t="n">
        <f aca="false">C5*'LABOR RATES'!$B$29*C17</f>
        <v>1.5</v>
      </c>
      <c r="D24" s="3" t="n">
        <f aca="false">D5*'LABOR RATES'!$B$29*D17</f>
        <v>2.0625</v>
      </c>
      <c r="E24" s="3" t="n">
        <f aca="false">E5*'LABOR RATES'!$B$29*E17</f>
        <v>2.625</v>
      </c>
      <c r="F24" s="3" t="n">
        <f aca="false">F5*'LABOR RATES'!$B$29*F17</f>
        <v>3.1875</v>
      </c>
      <c r="G24" s="3" t="n">
        <f aca="false">G5*'LABOR RATES'!$B$29*G17</f>
        <v>4</v>
      </c>
      <c r="H24" s="3" t="n">
        <f aca="false">H5*'LABOR RATES'!$B$29*H17</f>
        <v>4.125</v>
      </c>
      <c r="I24" s="3" t="n">
        <f aca="false">I5*'LABOR RATES'!$B$29*I17</f>
        <v>1.5</v>
      </c>
    </row>
    <row r="25" customFormat="false" ht="15" hidden="false" customHeight="false" outlineLevel="0" collapsed="false">
      <c r="A25" s="1" t="s">
        <v>1586</v>
      </c>
      <c r="B25" s="3" t="n">
        <f aca="false">B23+B24</f>
        <v>3.84375</v>
      </c>
      <c r="C25" s="3" t="n">
        <f aca="false">C23+C24</f>
        <v>5.25</v>
      </c>
      <c r="D25" s="3" t="n">
        <f aca="false">D23+D24</f>
        <v>6.65625</v>
      </c>
      <c r="E25" s="3" t="n">
        <f aca="false">E23+E24</f>
        <v>8.0625</v>
      </c>
      <c r="F25" s="3" t="n">
        <f aca="false">F23+F24</f>
        <v>9.46875</v>
      </c>
      <c r="G25" s="3" t="n">
        <f aca="false">G23+G24</f>
        <v>12</v>
      </c>
      <c r="H25" s="3" t="n">
        <f aca="false">H23+H24</f>
        <v>11.8125</v>
      </c>
      <c r="I25" s="3" t="n">
        <f aca="false">I23+I24</f>
        <v>5.25</v>
      </c>
    </row>
    <row r="26" customFormat="false" ht="15" hidden="false" customHeight="false" outlineLevel="0" collapsed="false">
      <c r="A26" s="2" t="s">
        <v>1708</v>
      </c>
      <c r="B26" s="16" t="n">
        <f aca="false">IF(B6+B8&gt;0,'LABOR RATES'!$B$71,1)</f>
        <v>1</v>
      </c>
      <c r="C26" s="16" t="n">
        <f aca="false">IF(C6+C8&gt;0,'LABOR RATES'!$B$71,1)</f>
        <v>0.375001547634115</v>
      </c>
      <c r="D26" s="16" t="n">
        <f aca="false">IF(D6+D8&gt;0,'LABOR RATES'!$B$71,1)</f>
        <v>0.375001547634115</v>
      </c>
      <c r="E26" s="16" t="n">
        <f aca="false">IF(E6+E8&gt;0,'LABOR RATES'!$B$71,1)</f>
        <v>0.375001547634115</v>
      </c>
      <c r="F26" s="16" t="n">
        <f aca="false">IF(F6+F8&gt;0,'LABOR RATES'!$B$71,1)</f>
        <v>0.375001547634115</v>
      </c>
      <c r="G26" s="16" t="n">
        <f aca="false">IF(G6+G8&gt;0,'LABOR RATES'!$B$71,1)</f>
        <v>1</v>
      </c>
      <c r="H26" s="16" t="n">
        <f aca="false">IF(H6+H8&gt;0,'LABOR RATES'!$B$71,1)</f>
        <v>0.375001547634115</v>
      </c>
      <c r="I26" s="16" t="n">
        <f aca="false">IF(I6+I8&gt;0,'LABOR RATES'!$B$71,1)</f>
        <v>0.375001547634115</v>
      </c>
    </row>
    <row r="27" customFormat="false" ht="15" hidden="false" customHeight="false" outlineLevel="0" collapsed="false">
      <c r="A27" s="2" t="s">
        <v>1709</v>
      </c>
      <c r="B27" s="10" t="n">
        <f aca="false">IF(B8=0,0,MAX(2,ROUNDUP(B9/'LABOR RATES'!$B$56,0)))</f>
        <v>0</v>
      </c>
      <c r="C27" s="10" t="n">
        <f aca="false">IF(C8=0,0,MAX(2,ROUNDUP(C9/'LABOR RATES'!$B$56,0)))</f>
        <v>4</v>
      </c>
      <c r="D27" s="10" t="n">
        <f aca="false">IF(D8=0,0,MAX(2,ROUNDUP(D9/'LABOR RATES'!$B$56,0)))</f>
        <v>5</v>
      </c>
      <c r="E27" s="10" t="n">
        <f aca="false">IF(E8=0,0,MAX(2,ROUNDUP(E9/'LABOR RATES'!$B$56,0)))</f>
        <v>3</v>
      </c>
      <c r="F27" s="10" t="n">
        <f aca="false">IF(F8=0,0,MAX(2,ROUNDUP(F9/'LABOR RATES'!$B$56,0)))</f>
        <v>3</v>
      </c>
      <c r="G27" s="10" t="n">
        <f aca="false">IF(G8=0,0,MAX(2,ROUNDUP(G9/'LABOR RATES'!$B$56,0)))</f>
        <v>0</v>
      </c>
      <c r="H27" s="10" t="n">
        <f aca="false">IF(H8=0,0,MAX(2,ROUNDUP(H9/'LABOR RATES'!$B$56,0)))</f>
        <v>4</v>
      </c>
      <c r="I27" s="10" t="n">
        <f aca="false">IF(I8=0,0,MAX(2,ROUNDUP(I9/'LABOR RATES'!$B$56,0)))</f>
        <v>4</v>
      </c>
    </row>
    <row r="28" customFormat="false" ht="15" hidden="false" customHeight="false" outlineLevel="0" collapsed="false">
      <c r="A28" s="2" t="s">
        <v>1696</v>
      </c>
      <c r="B28" s="3" t="n">
        <f aca="false">B6*'LABOR RATES'!$D$39*B26</f>
        <v>0</v>
      </c>
      <c r="C28" s="3" t="n">
        <f aca="false">C6*'LABOR RATES'!$D$39*C26</f>
        <v>0.992975804632172</v>
      </c>
      <c r="D28" s="3" t="n">
        <f aca="false">D6*'LABOR RATES'!$D$39*D26</f>
        <v>0.992975804632172</v>
      </c>
      <c r="E28" s="3" t="n">
        <f aca="false">E6*'LABOR RATES'!$D$39*E26</f>
        <v>0.992975804632172</v>
      </c>
      <c r="F28" s="3" t="n">
        <f aca="false">F6*'LABOR RATES'!$D$39*F26</f>
        <v>0.992975804632172</v>
      </c>
      <c r="G28" s="3" t="n">
        <f aca="false">G6*'LABOR RATES'!$D$39*G26</f>
        <v>0</v>
      </c>
      <c r="H28" s="3" t="n">
        <f aca="false">H6*'LABOR RATES'!$D$39*H26</f>
        <v>0.992975804632172</v>
      </c>
      <c r="I28" s="3" t="n">
        <f aca="false">I6*'LABOR RATES'!$D$39*I26</f>
        <v>0.992975804632172</v>
      </c>
    </row>
    <row r="29" customFormat="false" ht="15" hidden="false" customHeight="false" outlineLevel="0" collapsed="false">
      <c r="A29" s="2" t="s">
        <v>26</v>
      </c>
      <c r="B29" s="3" t="n">
        <f aca="false">B7*'LABOR RATES'!$D$40*B26</f>
        <v>1.32396227548507</v>
      </c>
      <c r="C29" s="3" t="n">
        <f aca="false">C7*'LABOR RATES'!$D$40*C26</f>
        <v>0</v>
      </c>
      <c r="D29" s="3" t="n">
        <f aca="false">D7*'LABOR RATES'!$D$40*D26</f>
        <v>0</v>
      </c>
      <c r="E29" s="3" t="n">
        <f aca="false">E7*'LABOR RATES'!$D$40*E26</f>
        <v>0</v>
      </c>
      <c r="F29" s="3" t="n">
        <f aca="false">F7*'LABOR RATES'!$D$40*F26</f>
        <v>0</v>
      </c>
      <c r="G29" s="3" t="n">
        <f aca="false">G7*'LABOR RATES'!$D$40*G26</f>
        <v>1.32396227548507</v>
      </c>
      <c r="H29" s="3" t="n">
        <f aca="false">H7*'LABOR RATES'!$D$40*H26</f>
        <v>0.496487902316086</v>
      </c>
      <c r="I29" s="3" t="n">
        <f aca="false">I7*'LABOR RATES'!$D$40*I26</f>
        <v>0</v>
      </c>
    </row>
    <row r="30" customFormat="false" ht="15" hidden="false" customHeight="false" outlineLevel="0" collapsed="false">
      <c r="A30" s="2" t="s">
        <v>1710</v>
      </c>
      <c r="B30" s="3" t="n">
        <f aca="false">B8*'LABOR RATES'!$D$41*B26</f>
        <v>0</v>
      </c>
      <c r="C30" s="3" t="n">
        <f aca="false">C8*'LABOR RATES'!$D$41*C26</f>
        <v>0.328889445272906</v>
      </c>
      <c r="D30" s="3" t="n">
        <f aca="false">D8*'LABOR RATES'!$D$41*D26</f>
        <v>0.328889445272906</v>
      </c>
      <c r="E30" s="3" t="n">
        <f aca="false">E8*'LABOR RATES'!$D$41*E26</f>
        <v>0.657778890545813</v>
      </c>
      <c r="F30" s="3" t="n">
        <f aca="false">F8*'LABOR RATES'!$D$41*F26</f>
        <v>0.657778890545813</v>
      </c>
      <c r="G30" s="3" t="n">
        <f aca="false">G8*'LABOR RATES'!$D$41*G26</f>
        <v>0</v>
      </c>
      <c r="H30" s="3" t="n">
        <f aca="false">H8*'LABOR RATES'!$D$41*H26</f>
        <v>0.657778890545813</v>
      </c>
      <c r="I30" s="3" t="n">
        <f aca="false">I8*'LABOR RATES'!$D$41*I26</f>
        <v>0.328889445272906</v>
      </c>
    </row>
    <row r="31" customFormat="false" ht="15" hidden="false" customHeight="false" outlineLevel="0" collapsed="false">
      <c r="A31" s="2" t="s">
        <v>1711</v>
      </c>
      <c r="B31" s="3" t="n">
        <f aca="false">B11*'LABOR RATES'!$D$42*B26</f>
        <v>1.7877094972067</v>
      </c>
      <c r="C31" s="3" t="n">
        <f aca="false">C11*'LABOR RATES'!$D$42*C26</f>
        <v>1.00559074225908</v>
      </c>
      <c r="D31" s="3" t="n">
        <f aca="false">D11*'LABOR RATES'!$D$42*D26</f>
        <v>1.00559074225908</v>
      </c>
      <c r="E31" s="3" t="n">
        <f aca="false">E11*'LABOR RATES'!$D$42*E26</f>
        <v>1.00559074225908</v>
      </c>
      <c r="F31" s="3" t="n">
        <f aca="false">F11*'LABOR RATES'!$D$42*F26</f>
        <v>1.00559074225908</v>
      </c>
      <c r="G31" s="3" t="n">
        <f aca="false">G11*'LABOR RATES'!$D$42*G26</f>
        <v>1.7877094972067</v>
      </c>
      <c r="H31" s="3" t="n">
        <f aca="false">H11*'LABOR RATES'!$D$42*H26</f>
        <v>1.00559074225908</v>
      </c>
      <c r="I31" s="3" t="n">
        <f aca="false">I11*'LABOR RATES'!$D$42*I26</f>
        <v>0.670393828172719</v>
      </c>
    </row>
    <row r="32" customFormat="false" ht="15" hidden="false" customHeight="false" outlineLevel="0" collapsed="false">
      <c r="A32" s="2" t="s">
        <v>30</v>
      </c>
      <c r="B32" s="3" t="n">
        <f aca="false">B12*'LABOR RATES'!$D$43*B26</f>
        <v>1.53901603892593</v>
      </c>
      <c r="C32" s="3" t="n">
        <f aca="false">C12*'LABOR RATES'!$D$43*C26</f>
        <v>1.50054683072047</v>
      </c>
      <c r="D32" s="3" t="n">
        <f aca="false">D12*'LABOR RATES'!$D$43*D26</f>
        <v>1.50054683072047</v>
      </c>
      <c r="E32" s="3" t="n">
        <f aca="false">E12*'LABOR RATES'!$D$43*E26</f>
        <v>1.50054683072047</v>
      </c>
      <c r="F32" s="3" t="n">
        <f aca="false">F12*'LABOR RATES'!$D$43*F26</f>
        <v>1.50054683072047</v>
      </c>
      <c r="G32" s="3" t="n">
        <f aca="false">G12*'LABOR RATES'!$D$43*G26</f>
        <v>1.84681924671112</v>
      </c>
      <c r="H32" s="3" t="n">
        <f aca="false">H12*'LABOR RATES'!$D$43*H26</f>
        <v>1.73140018929285</v>
      </c>
      <c r="I32" s="3" t="n">
        <f aca="false">I12*'LABOR RATES'!$D$43*I26</f>
        <v>1.50054683072047</v>
      </c>
    </row>
    <row r="33" customFormat="false" ht="15" hidden="false" customHeight="false" outlineLevel="0" collapsed="false">
      <c r="A33" s="2" t="s">
        <v>1712</v>
      </c>
      <c r="B33" s="3" t="n">
        <f aca="false">B13*'LABOR RATES'!$D$44*B26</f>
        <v>2.68156424581006</v>
      </c>
      <c r="C33" s="3" t="n">
        <f aca="false">C13*'LABOR RATES'!$D$44*C26</f>
        <v>1.60894518761452</v>
      </c>
      <c r="D33" s="3" t="n">
        <f aca="false">D13*'LABOR RATES'!$D$44*D26</f>
        <v>1.60894518761452</v>
      </c>
      <c r="E33" s="3" t="n">
        <f aca="false">E13*'LABOR RATES'!$D$44*E26</f>
        <v>1.60894518761452</v>
      </c>
      <c r="F33" s="3" t="n">
        <f aca="false">F13*'LABOR RATES'!$D$44*F26</f>
        <v>1.60894518761452</v>
      </c>
      <c r="G33" s="3" t="n">
        <f aca="false">G13*'LABOR RATES'!$D$44*G26</f>
        <v>3.35195530726257</v>
      </c>
      <c r="H33" s="3" t="n">
        <f aca="false">H13*'LABOR RATES'!$D$44*H26</f>
        <v>1.50838611338862</v>
      </c>
      <c r="I33" s="3" t="n">
        <f aca="false">I13*'LABOR RATES'!$D$44*I26</f>
        <v>1.60894518761452</v>
      </c>
    </row>
    <row r="34" customFormat="false" ht="15" hidden="false" customHeight="false" outlineLevel="0" collapsed="false">
      <c r="A34" s="2" t="s">
        <v>1713</v>
      </c>
      <c r="B34" s="3" t="n">
        <f aca="false">B14*'LABOR RATES'!$D$45*B26</f>
        <v>0.43010752688172</v>
      </c>
      <c r="C34" s="3" t="n">
        <f aca="false">C14*'LABOR RATES'!$D$45*C26</f>
        <v>0.222581563757023</v>
      </c>
      <c r="D34" s="3" t="n">
        <f aca="false">D14*'LABOR RATES'!$D$45*D26</f>
        <v>0.245162302109185</v>
      </c>
      <c r="E34" s="3" t="n">
        <f aca="false">E14*'LABOR RATES'!$D$45*E26</f>
        <v>0.274194679990535</v>
      </c>
      <c r="F34" s="3" t="n">
        <f aca="false">F14*'LABOR RATES'!$D$45*F26</f>
        <v>0.296775418342697</v>
      </c>
      <c r="G34" s="3" t="n">
        <f aca="false">G14*'LABOR RATES'!$D$45*G26</f>
        <v>0.645161290322581</v>
      </c>
      <c r="H34" s="3" t="n">
        <f aca="false">H14*'LABOR RATES'!$D$45*H26</f>
        <v>0.290323778813508</v>
      </c>
      <c r="I34" s="3" t="n">
        <f aca="false">I14*'LABOR RATES'!$D$45*I26</f>
        <v>0.209678284698645</v>
      </c>
    </row>
    <row r="35" customFormat="false" ht="15" hidden="false" customHeight="false" outlineLevel="0" collapsed="false">
      <c r="A35" s="2" t="s">
        <v>1714</v>
      </c>
      <c r="B35" s="3" t="n">
        <f aca="false">B15*'LABOR RATES'!$D$46*B26</f>
        <v>0.21505376344086</v>
      </c>
      <c r="C35" s="3" t="n">
        <f aca="false">C15*'LABOR RATES'!$D$46*C26</f>
        <v>0.161290988229727</v>
      </c>
      <c r="D35" s="3" t="n">
        <f aca="false">D15*'LABOR RATES'!$D$46*D26</f>
        <v>0.201613735287158</v>
      </c>
      <c r="E35" s="3" t="n">
        <f aca="false">E15*'LABOR RATES'!$D$46*E26</f>
        <v>0.24193648234459</v>
      </c>
      <c r="F35" s="3" t="n">
        <f aca="false">F15*'LABOR RATES'!$D$46*F26</f>
        <v>0.282259229402022</v>
      </c>
      <c r="G35" s="3" t="n">
        <f aca="false">G15*'LABOR RATES'!$D$46*G26</f>
        <v>0.21505376344086</v>
      </c>
      <c r="H35" s="3" t="n">
        <f aca="false">H15*'LABOR RATES'!$D$46*H26</f>
        <v>0.120968241172295</v>
      </c>
      <c r="I35" s="3" t="n">
        <f aca="false">I15*'LABOR RATES'!$D$46*I26</f>
        <v>0.161290988229727</v>
      </c>
    </row>
    <row r="36" customFormat="false" ht="15" hidden="false" customHeight="false" outlineLevel="0" collapsed="false">
      <c r="A36" s="2" t="s">
        <v>35</v>
      </c>
      <c r="B36" s="3" t="n">
        <f aca="false">B16*'LABOR RATES'!$D$47*B26</f>
        <v>1.10890851204421</v>
      </c>
      <c r="C36" s="3" t="n">
        <f aca="false">C16*'LABOR RATES'!$D$47*C26</f>
        <v>0.415842408201223</v>
      </c>
      <c r="D36" s="3" t="n">
        <f aca="false">D16*'LABOR RATES'!$D$47*D26</f>
        <v>0.415842408201223</v>
      </c>
      <c r="E36" s="3" t="n">
        <f aca="false">E16*'LABOR RATES'!$D$47*E26</f>
        <v>0.415842408201223</v>
      </c>
      <c r="F36" s="3" t="n">
        <f aca="false">F16*'LABOR RATES'!$D$47*F26</f>
        <v>0.415842408201223</v>
      </c>
      <c r="G36" s="3" t="n">
        <f aca="false">G16*'LABOR RATES'!$D$47*G26</f>
        <v>1.10890851204421</v>
      </c>
      <c r="H36" s="3" t="n">
        <f aca="false">H16*'LABOR RATES'!$D$47*H26</f>
        <v>0.415842408201223</v>
      </c>
      <c r="I36" s="3" t="n">
        <f aca="false">I16*'LABOR RATES'!$D$47*I26</f>
        <v>0.415842408201223</v>
      </c>
    </row>
    <row r="37" customFormat="false" ht="15" hidden="false" customHeight="false" outlineLevel="0" collapsed="false">
      <c r="A37" s="2" t="s">
        <v>1715</v>
      </c>
      <c r="B37" s="3" t="n">
        <f aca="false">IF(B6+B7=0,0,('LABOR RATES'!$D$48+(B6+B7)*'LABOR RATES'!$D$49+B8*'LABOR RATES'!$D$50)*B26)</f>
        <v>1.72043010752688</v>
      </c>
      <c r="C37" s="3" t="n">
        <f aca="false">IF(C6+C7=0,0,('LABOR RATES'!$D$48+(C6+C7)*'LABOR RATES'!$D$49+C8*'LABOR RATES'!$D$50)*C26)</f>
        <v>0.72580944703377</v>
      </c>
      <c r="D37" s="3" t="n">
        <f aca="false">IF(D6+D7=0,0,('LABOR RATES'!$D$48+(D6+D7)*'LABOR RATES'!$D$49+D8*'LABOR RATES'!$D$50)*D26)</f>
        <v>0.72580944703377</v>
      </c>
      <c r="E37" s="3" t="n">
        <f aca="false">IF(E6+E7=0,0,('LABOR RATES'!$D$48+(E6+E7)*'LABOR RATES'!$D$49+E8*'LABOR RATES'!$D$50)*E26)</f>
        <v>0.806454941148633</v>
      </c>
      <c r="F37" s="3" t="n">
        <f aca="false">IF(F6+F7=0,0,('LABOR RATES'!$D$48+(F6+F7)*'LABOR RATES'!$D$49+F8*'LABOR RATES'!$D$50)*F26)</f>
        <v>0.806454941148633</v>
      </c>
      <c r="G37" s="3" t="n">
        <f aca="false">IF(G6+G7=0,0,('LABOR RATES'!$D$48+(G6+G7)*'LABOR RATES'!$D$49+G8*'LABOR RATES'!$D$50)*G26)</f>
        <v>1.72043010752688</v>
      </c>
      <c r="H37" s="3" t="n">
        <f aca="false">IF(H6+H7=0,0,('LABOR RATES'!$D$48+(H6+H7)*'LABOR RATES'!$D$49+H8*'LABOR RATES'!$D$50)*H26)</f>
        <v>0.96774592937836</v>
      </c>
      <c r="I37" s="3" t="n">
        <f aca="false">IF(I6+I7=0,0,('LABOR RATES'!$D$48+(I6+I7)*'LABOR RATES'!$D$49+I8*'LABOR RATES'!$D$50)*I26)</f>
        <v>0.72580944703377</v>
      </c>
    </row>
    <row r="38" customFormat="false" ht="15" hidden="false" customHeight="false" outlineLevel="0" collapsed="false">
      <c r="A38" s="2" t="s">
        <v>1716</v>
      </c>
      <c r="B38" s="3" t="n">
        <f aca="false">B27*B10*B8</f>
        <v>0</v>
      </c>
      <c r="C38" s="3" t="n">
        <f aca="false">C27*C10*C8</f>
        <v>2</v>
      </c>
      <c r="D38" s="3" t="n">
        <f aca="false">D27*D10*D8</f>
        <v>2.5</v>
      </c>
      <c r="E38" s="3" t="n">
        <f aca="false">E27*E10*E8</f>
        <v>3</v>
      </c>
      <c r="F38" s="3" t="n">
        <f aca="false">F27*F10*F8</f>
        <v>3</v>
      </c>
      <c r="G38" s="3" t="n">
        <f aca="false">G27*G10*G8</f>
        <v>0</v>
      </c>
      <c r="H38" s="3" t="n">
        <f aca="false">H27*H10*H8</f>
        <v>4</v>
      </c>
      <c r="I38" s="3" t="n">
        <f aca="false">I27*I10*I8</f>
        <v>2</v>
      </c>
    </row>
    <row r="39" customFormat="false" ht="15" hidden="false" customHeight="false" outlineLevel="0" collapsed="false">
      <c r="A39" s="1" t="s">
        <v>1717</v>
      </c>
      <c r="B39" s="3" t="n">
        <f aca="false">SUM(B28:B38)</f>
        <v>10.8067519673214</v>
      </c>
      <c r="C39" s="3" t="n">
        <f aca="false">SUM(C28:C38)</f>
        <v>8.96247241772089</v>
      </c>
      <c r="D39" s="3" t="n">
        <f aca="false">SUM(D28:D38)</f>
        <v>9.52537590313049</v>
      </c>
      <c r="E39" s="3" t="n">
        <f aca="false">SUM(E28:E38)</f>
        <v>10.504265967457</v>
      </c>
      <c r="F39" s="3" t="n">
        <f aca="false">SUM(F28:F38)</f>
        <v>10.5671694528666</v>
      </c>
      <c r="G39" s="3" t="n">
        <f aca="false">SUM(G28:G38)</f>
        <v>12</v>
      </c>
      <c r="H39" s="3" t="n">
        <f aca="false">SUM(H28:H38)</f>
        <v>12.1875</v>
      </c>
      <c r="I39" s="3" t="n">
        <f aca="false">SUM(I28:I38)</f>
        <v>8.61437222457615</v>
      </c>
    </row>
    <row r="40" customFormat="false" ht="15" hidden="false" customHeight="false" outlineLevel="0" collapsed="false">
      <c r="A40" s="2" t="s">
        <v>1526</v>
      </c>
      <c r="B40" s="3" t="n">
        <f aca="false">IF(B5=0,0,'LABOR RATES'!$D$22)</f>
        <v>2</v>
      </c>
      <c r="C40" s="3" t="n">
        <f aca="false">IF(C5=0,0,'LABOR RATES'!$D$22)</f>
        <v>2</v>
      </c>
      <c r="D40" s="3" t="n">
        <f aca="false">IF(D5=0,0,'LABOR RATES'!$D$22)</f>
        <v>2</v>
      </c>
      <c r="E40" s="3" t="n">
        <f aca="false">IF(E5=0,0,'LABOR RATES'!$D$22)</f>
        <v>2</v>
      </c>
      <c r="F40" s="3" t="n">
        <f aca="false">IF(F5=0,0,'LABOR RATES'!$D$22)</f>
        <v>2</v>
      </c>
      <c r="G40" s="3" t="n">
        <f aca="false">IF(G5=0,0,'LABOR RATES'!$D$22)</f>
        <v>2</v>
      </c>
      <c r="H40" s="3" t="n">
        <f aca="false">IF(H5=0,0,'LABOR RATES'!$D$22)</f>
        <v>2</v>
      </c>
      <c r="I40" s="3" t="n">
        <f aca="false">IF(I5=0,0,'LABOR RATES'!$D$22)</f>
        <v>2</v>
      </c>
    </row>
    <row r="41" customFormat="false" ht="15" hidden="false" customHeight="false" outlineLevel="0" collapsed="false">
      <c r="A41" s="1" t="s">
        <v>104</v>
      </c>
      <c r="B41" s="3" t="n">
        <f aca="false">B25+B39+B40</f>
        <v>16.6505019673214</v>
      </c>
      <c r="C41" s="3" t="n">
        <f aca="false">C25+C39+C40</f>
        <v>16.2124724177209</v>
      </c>
      <c r="D41" s="3" t="n">
        <f aca="false">D25+D39+D40</f>
        <v>18.1816259031305</v>
      </c>
      <c r="E41" s="3" t="n">
        <f aca="false">E25+E39+E40</f>
        <v>20.566765967457</v>
      </c>
      <c r="F41" s="3" t="n">
        <f aca="false">F25+F39+F40</f>
        <v>22.0359194528666</v>
      </c>
      <c r="G41" s="3" t="n">
        <f aca="false">G25+G39+G40</f>
        <v>26</v>
      </c>
      <c r="H41" s="3" t="n">
        <f aca="false">H25+H39+H40</f>
        <v>26</v>
      </c>
      <c r="I41" s="3" t="n">
        <f aca="false">I25+I39+I40</f>
        <v>15.8643722245762</v>
      </c>
    </row>
    <row r="43" customFormat="false" ht="15" hidden="false" customHeight="false" outlineLevel="0" collapsed="false">
      <c r="A43" s="1" t="s">
        <v>1718</v>
      </c>
    </row>
    <row r="44" customFormat="false" ht="15" hidden="false" customHeight="false" outlineLevel="0" collapsed="false">
      <c r="A44" s="2" t="s">
        <v>1511</v>
      </c>
      <c r="B44" s="3" t="n">
        <f aca="false">'LABOR RATES'!$B$13</f>
        <v>6.5</v>
      </c>
      <c r="C44" s="3" t="n">
        <f aca="false">'LABOR RATES'!$B$13</f>
        <v>6.5</v>
      </c>
      <c r="D44" s="3" t="n">
        <f aca="false">'LABOR RATES'!$B$13</f>
        <v>6.5</v>
      </c>
      <c r="E44" s="3" t="n">
        <f aca="false">'LABOR RATES'!$B$13</f>
        <v>6.5</v>
      </c>
      <c r="F44" s="3" t="n">
        <f aca="false">'LABOR RATES'!$B$13</f>
        <v>6.5</v>
      </c>
      <c r="G44" s="3" t="n">
        <f aca="false">'LABOR RATES'!$B$13</f>
        <v>6.5</v>
      </c>
      <c r="H44" s="3" t="n">
        <f aca="false">'LABOR RATES'!$B$13</f>
        <v>6.5</v>
      </c>
      <c r="I44" s="3" t="n">
        <f aca="false">'LABOR RATES'!$B$13</f>
        <v>6.5</v>
      </c>
    </row>
    <row r="45" customFormat="false" ht="15" hidden="false" customHeight="false" outlineLevel="0" collapsed="false">
      <c r="A45" s="2" t="s">
        <v>1719</v>
      </c>
      <c r="B45" s="10" t="n">
        <f aca="false">IF(B25=0,0,MAX(1,ROUNDUP(B25/(2*B44*B18),0)))</f>
        <v>1</v>
      </c>
      <c r="C45" s="10" t="n">
        <f aca="false">IF(C25=0,0,MAX(1,ROUNDUP(C25/(2*C44*C18),0)))</f>
        <v>1</v>
      </c>
      <c r="D45" s="10" t="n">
        <f aca="false">IF(D25=0,0,MAX(1,ROUNDUP(D25/(2*D44*D18),0)))</f>
        <v>1</v>
      </c>
      <c r="E45" s="10" t="n">
        <f aca="false">IF(E25=0,0,MAX(1,ROUNDUP(E25/(2*E44*E18),0)))</f>
        <v>1</v>
      </c>
      <c r="F45" s="10" t="n">
        <f aca="false">IF(F25=0,0,MAX(1,ROUNDUP(F25/(2*F44*F18),0)))</f>
        <v>1</v>
      </c>
      <c r="G45" s="10" t="n">
        <f aca="false">IF(G25=0,0,MAX(1,ROUNDUP(G25/(2*G44*G18),0)))</f>
        <v>1</v>
      </c>
      <c r="H45" s="10" t="n">
        <f aca="false">IF(H25=0,0,MAX(1,ROUNDUP(H25/(2*H44*H18),0)))</f>
        <v>1</v>
      </c>
      <c r="I45" s="10" t="n">
        <f aca="false">IF(I25=0,0,MAX(1,ROUNDUP(I25/(2*I44*I18),0)))</f>
        <v>1</v>
      </c>
    </row>
    <row r="46" customFormat="false" ht="15" hidden="false" customHeight="false" outlineLevel="0" collapsed="false">
      <c r="A46" s="2" t="s">
        <v>1720</v>
      </c>
      <c r="B46" s="10" t="n">
        <f aca="false">IF(B27=0,0,MAX(0,ROUNDUP((B27-2)/2,0)))</f>
        <v>0</v>
      </c>
      <c r="C46" s="10" t="n">
        <f aca="false">IF(C27=0,0,MAX(0,ROUNDUP((C27-2)/2,0)))</f>
        <v>1</v>
      </c>
      <c r="D46" s="10" t="n">
        <f aca="false">IF(D27=0,0,MAX(0,ROUNDUP((D27-2)/2,0)))</f>
        <v>2</v>
      </c>
      <c r="E46" s="10" t="n">
        <f aca="false">IF(E27=0,0,MAX(0,ROUNDUP((E27-2)/2,0)))</f>
        <v>1</v>
      </c>
      <c r="F46" s="10" t="n">
        <f aca="false">IF(F27=0,0,MAX(0,ROUNDUP((F27-2)/2,0)))</f>
        <v>1</v>
      </c>
      <c r="G46" s="10" t="n">
        <f aca="false">IF(G27=0,0,MAX(0,ROUNDUP((G27-2)/2,0)))</f>
        <v>0</v>
      </c>
      <c r="H46" s="10" t="n">
        <f aca="false">IF(H27=0,0,MAX(0,ROUNDUP((H27-2)/2,0)))</f>
        <v>1</v>
      </c>
      <c r="I46" s="10" t="n">
        <f aca="false">IF(I27=0,0,MAX(0,ROUNDUP((I27-2)/2,0)))</f>
        <v>1</v>
      </c>
      <c r="J46" s="2" t="s">
        <v>1721</v>
      </c>
    </row>
    <row r="47" customFormat="false" ht="15" hidden="false" customHeight="false" outlineLevel="0" collapsed="false">
      <c r="A47" s="2" t="s">
        <v>1722</v>
      </c>
      <c r="B47" s="10" t="n">
        <f aca="false">MAX(B45,B46)</f>
        <v>1</v>
      </c>
      <c r="C47" s="10" t="n">
        <f aca="false">MAX(C45,C46)</f>
        <v>1</v>
      </c>
      <c r="D47" s="10" t="n">
        <f aca="false">MAX(D45,D46)</f>
        <v>2</v>
      </c>
      <c r="E47" s="10" t="n">
        <f aca="false">MAX(E45,E46)</f>
        <v>1</v>
      </c>
      <c r="F47" s="10" t="n">
        <f aca="false">MAX(F45,F46)</f>
        <v>1</v>
      </c>
      <c r="G47" s="10" t="n">
        <f aca="false">MAX(G45,G46)</f>
        <v>1</v>
      </c>
      <c r="H47" s="10" t="n">
        <f aca="false">MAX(H45,H46)</f>
        <v>1</v>
      </c>
      <c r="I47" s="10" t="n">
        <f aca="false">MAX(I45,I46)</f>
        <v>1</v>
      </c>
    </row>
    <row r="48" customFormat="false" ht="15" hidden="false" customHeight="false" outlineLevel="0" collapsed="false">
      <c r="A48" s="2" t="s">
        <v>1723</v>
      </c>
      <c r="B48" s="10" t="n">
        <v>2</v>
      </c>
      <c r="C48" s="10" t="n">
        <v>2</v>
      </c>
      <c r="D48" s="10" t="n">
        <v>2</v>
      </c>
      <c r="E48" s="10" t="n">
        <v>2</v>
      </c>
      <c r="F48" s="10" t="n">
        <v>2</v>
      </c>
      <c r="G48" s="10" t="n">
        <v>2</v>
      </c>
      <c r="H48" s="10" t="n">
        <v>2</v>
      </c>
      <c r="I48" s="10" t="n">
        <f aca="false">JOB!B14</f>
        <v>2</v>
      </c>
      <c r="J48" s="2" t="s">
        <v>1724</v>
      </c>
    </row>
    <row r="49" customFormat="false" ht="15" hidden="false" customHeight="false" outlineLevel="0" collapsed="false">
      <c r="A49" s="2" t="s">
        <v>1725</v>
      </c>
      <c r="B49" s="3" t="n">
        <f aca="false">IF(B41=0,0,ROUNDUP(B41/(4*B44)/'LABOR RATES'!$B$14,0)*'LABOR RATES'!$B$14)</f>
        <v>1</v>
      </c>
      <c r="C49" s="3" t="n">
        <f aca="false">IF(C41=0,0,ROUNDUP(C41/(4*C44)/'LABOR RATES'!$B$14,0)*'LABOR RATES'!$B$14)</f>
        <v>1</v>
      </c>
      <c r="D49" s="3" t="n">
        <f aca="false">IF(D41=0,0,ROUNDUP(D41/(4*D44)/'LABOR RATES'!$B$14,0)*'LABOR RATES'!$B$14)</f>
        <v>1</v>
      </c>
      <c r="E49" s="3" t="n">
        <f aca="false">IF(E41=0,0,ROUNDUP(E41/(4*E44)/'LABOR RATES'!$B$14,0)*'LABOR RATES'!$B$14)</f>
        <v>1</v>
      </c>
      <c r="F49" s="3" t="n">
        <f aca="false">IF(F41=0,0,ROUNDUP(F41/(4*F44)/'LABOR RATES'!$B$14,0)*'LABOR RATES'!$B$14)</f>
        <v>1</v>
      </c>
      <c r="G49" s="3" t="n">
        <f aca="false">IF(G41=0,0,ROUNDUP(G41/(4*G44)/'LABOR RATES'!$B$14,0)*'LABOR RATES'!$B$14)</f>
        <v>1</v>
      </c>
      <c r="H49" s="3" t="n">
        <f aca="false">IF(H41=0,0,ROUNDUP(H41/(4*H44)/'LABOR RATES'!$B$14,0)*'LABOR RATES'!$B$14)</f>
        <v>1</v>
      </c>
      <c r="I49" s="3" t="n">
        <f aca="false">IF(I41=0,0,ROUNDUP(I41/(4*I44)/'LABOR RATES'!$B$14,0)*'LABOR RATES'!$B$14)</f>
        <v>1</v>
      </c>
    </row>
    <row r="50" customFormat="false" ht="15" hidden="false" customHeight="false" outlineLevel="0" collapsed="false">
      <c r="A50" s="2" t="s">
        <v>1726</v>
      </c>
      <c r="B50" s="5" t="n">
        <f aca="false">B49*('LABOR RATES'!$B$4+1*'LABOR RATES'!$B$5+2*'LABOR RATES'!$B$6+'MOB-DEMOB'!$B$17)</f>
        <v>7300</v>
      </c>
      <c r="C50" s="5" t="n">
        <f aca="false">C49*('LABOR RATES'!$B$4+1*'LABOR RATES'!$B$5+2*'LABOR RATES'!$B$6+'MOB-DEMOB'!$B$17)</f>
        <v>7300</v>
      </c>
      <c r="D50" s="5" t="n">
        <f aca="false">D49*('LABOR RATES'!$B$4+1*'LABOR RATES'!$B$5+2*'LABOR RATES'!$B$6+'MOB-DEMOB'!$B$17)</f>
        <v>7300</v>
      </c>
      <c r="E50" s="5" t="n">
        <f aca="false">E49*('LABOR RATES'!$B$4+1*'LABOR RATES'!$B$5+2*'LABOR RATES'!$B$6+'MOB-DEMOB'!$B$17)</f>
        <v>7300</v>
      </c>
      <c r="F50" s="5" t="n">
        <f aca="false">F49*('LABOR RATES'!$B$4+1*'LABOR RATES'!$B$5+2*'LABOR RATES'!$B$6+'MOB-DEMOB'!$B$17)</f>
        <v>7300</v>
      </c>
      <c r="G50" s="5" t="n">
        <f aca="false">G49*('LABOR RATES'!$B$4+1*'LABOR RATES'!$B$5+2*'LABOR RATES'!$B$6+'MOB-DEMOB'!$B$17)</f>
        <v>7300</v>
      </c>
      <c r="H50" s="5" t="n">
        <f aca="false">H49*('LABOR RATES'!$B$4+1*'LABOR RATES'!$B$5+2*'LABOR RATES'!$B$6+'MOB-DEMOB'!$B$17)</f>
        <v>7300</v>
      </c>
      <c r="I50" s="5" t="n">
        <f aca="false">I49*('LABOR RATES'!$B$4+1*'LABOR RATES'!$B$5+2*'LABOR RATES'!$B$6+'MOB-DEMOB'!$B$17)</f>
        <v>7300</v>
      </c>
    </row>
    <row r="51" customFormat="false" ht="15" hidden="false" customHeight="false" outlineLevel="0" collapsed="false">
      <c r="A51" s="2" t="s">
        <v>1727</v>
      </c>
      <c r="B51" s="3" t="n">
        <f aca="false">IF(B41=0,0,ROUNDUP(B41/(6*B44)/'LABOR RATES'!$B$14,0)*'LABOR RATES'!$B$14)</f>
        <v>1</v>
      </c>
      <c r="C51" s="3" t="n">
        <f aca="false">IF(C41=0,0,ROUNDUP(C41/(6*C44)/'LABOR RATES'!$B$14,0)*'LABOR RATES'!$B$14)</f>
        <v>1</v>
      </c>
      <c r="D51" s="3" t="n">
        <f aca="false">IF(D41=0,0,ROUNDUP(D41/(6*D44)/'LABOR RATES'!$B$14,0)*'LABOR RATES'!$B$14)</f>
        <v>1</v>
      </c>
      <c r="E51" s="3" t="n">
        <f aca="false">IF(E41=0,0,ROUNDUP(E41/(6*E44)/'LABOR RATES'!$B$14,0)*'LABOR RATES'!$B$14)</f>
        <v>1</v>
      </c>
      <c r="F51" s="3" t="n">
        <f aca="false">IF(F41=0,0,ROUNDUP(F41/(6*F44)/'LABOR RATES'!$B$14,0)*'LABOR RATES'!$B$14)</f>
        <v>1</v>
      </c>
      <c r="G51" s="3" t="n">
        <f aca="false">IF(G41=0,0,ROUNDUP(G41/(6*G44)/'LABOR RATES'!$B$14,0)*'LABOR RATES'!$B$14)</f>
        <v>1</v>
      </c>
      <c r="H51" s="3" t="n">
        <f aca="false">IF(H41=0,0,ROUNDUP(H41/(6*H44)/'LABOR RATES'!$B$14,0)*'LABOR RATES'!$B$14)</f>
        <v>1</v>
      </c>
      <c r="I51" s="3" t="n">
        <f aca="false">IF(I41=0,0,ROUNDUP(I41/(6*I44)/'LABOR RATES'!$B$14,0)*'LABOR RATES'!$B$14)</f>
        <v>1</v>
      </c>
    </row>
    <row r="52" customFormat="false" ht="15" hidden="false" customHeight="false" outlineLevel="0" collapsed="false">
      <c r="A52" s="2" t="s">
        <v>1728</v>
      </c>
      <c r="B52" s="5" t="n">
        <f aca="false">B51*('LABOR RATES'!$B$4+2*'LABOR RATES'!$B$5+3*'LABOR RATES'!$B$6+'MOB-DEMOB'!$B$17)</f>
        <v>9800</v>
      </c>
      <c r="C52" s="5" t="n">
        <f aca="false">C51*('LABOR RATES'!$B$4+2*'LABOR RATES'!$B$5+3*'LABOR RATES'!$B$6+'MOB-DEMOB'!$B$17)</f>
        <v>9800</v>
      </c>
      <c r="D52" s="5" t="n">
        <f aca="false">D51*('LABOR RATES'!$B$4+2*'LABOR RATES'!$B$5+3*'LABOR RATES'!$B$6+'MOB-DEMOB'!$B$17)</f>
        <v>9800</v>
      </c>
      <c r="E52" s="5" t="n">
        <f aca="false">E51*('LABOR RATES'!$B$4+2*'LABOR RATES'!$B$5+3*'LABOR RATES'!$B$6+'MOB-DEMOB'!$B$17)</f>
        <v>9800</v>
      </c>
      <c r="F52" s="5" t="n">
        <f aca="false">F51*('LABOR RATES'!$B$4+2*'LABOR RATES'!$B$5+3*'LABOR RATES'!$B$6+'MOB-DEMOB'!$B$17)</f>
        <v>9800</v>
      </c>
      <c r="G52" s="5" t="n">
        <f aca="false">G51*('LABOR RATES'!$B$4+2*'LABOR RATES'!$B$5+3*'LABOR RATES'!$B$6+'MOB-DEMOB'!$B$17)</f>
        <v>9800</v>
      </c>
      <c r="H52" s="5" t="n">
        <f aca="false">H51*('LABOR RATES'!$B$4+2*'LABOR RATES'!$B$5+3*'LABOR RATES'!$B$6+'MOB-DEMOB'!$B$17)</f>
        <v>9800</v>
      </c>
      <c r="I52" s="5" t="n">
        <f aca="false">I51*('LABOR RATES'!$B$4+2*'LABOR RATES'!$B$5+3*'LABOR RATES'!$B$6+'MOB-DEMOB'!$B$17)</f>
        <v>9800</v>
      </c>
    </row>
    <row r="53" customFormat="false" ht="15" hidden="false" customHeight="false" outlineLevel="0" collapsed="false">
      <c r="A53" s="2" t="s">
        <v>1729</v>
      </c>
      <c r="B53" s="3" t="n">
        <f aca="false">IF(B41=0,0,ROUNDUP(B41/(8*B44)/'LABOR RATES'!$B$14,0)*'LABOR RATES'!$B$14)</f>
        <v>1</v>
      </c>
      <c r="C53" s="3" t="n">
        <f aca="false">IF(C41=0,0,ROUNDUP(C41/(8*C44)/'LABOR RATES'!$B$14,0)*'LABOR RATES'!$B$14)</f>
        <v>1</v>
      </c>
      <c r="D53" s="3" t="n">
        <f aca="false">IF(D41=0,0,ROUNDUP(D41/(8*D44)/'LABOR RATES'!$B$14,0)*'LABOR RATES'!$B$14)</f>
        <v>1</v>
      </c>
      <c r="E53" s="3" t="n">
        <f aca="false">IF(E41=0,0,ROUNDUP(E41/(8*E44)/'LABOR RATES'!$B$14,0)*'LABOR RATES'!$B$14)</f>
        <v>1</v>
      </c>
      <c r="F53" s="3" t="n">
        <f aca="false">IF(F41=0,0,ROUNDUP(F41/(8*F44)/'LABOR RATES'!$B$14,0)*'LABOR RATES'!$B$14)</f>
        <v>1</v>
      </c>
      <c r="G53" s="3" t="n">
        <f aca="false">IF(G41=0,0,ROUNDUP(G41/(8*G44)/'LABOR RATES'!$B$14,0)*'LABOR RATES'!$B$14)</f>
        <v>1</v>
      </c>
      <c r="H53" s="3" t="n">
        <f aca="false">IF(H41=0,0,ROUNDUP(H41/(8*H44)/'LABOR RATES'!$B$14,0)*'LABOR RATES'!$B$14)</f>
        <v>1</v>
      </c>
      <c r="I53" s="3" t="n">
        <f aca="false">IF(I41=0,0,ROUNDUP(I41/(8*I44)/'LABOR RATES'!$B$14,0)*'LABOR RATES'!$B$14)</f>
        <v>1</v>
      </c>
    </row>
    <row r="54" customFormat="false" ht="15" hidden="false" customHeight="false" outlineLevel="0" collapsed="false">
      <c r="A54" s="2" t="s">
        <v>1730</v>
      </c>
      <c r="B54" s="5" t="n">
        <f aca="false">B53*('LABOR RATES'!$B$4+3*'LABOR RATES'!$B$5+4*'LABOR RATES'!$B$6+'MOB-DEMOB'!$B$17)</f>
        <v>12300</v>
      </c>
      <c r="C54" s="5" t="n">
        <f aca="false">C53*('LABOR RATES'!$B$4+3*'LABOR RATES'!$B$5+4*'LABOR RATES'!$B$6+'MOB-DEMOB'!$B$17)</f>
        <v>12300</v>
      </c>
      <c r="D54" s="5" t="n">
        <f aca="false">D53*('LABOR RATES'!$B$4+3*'LABOR RATES'!$B$5+4*'LABOR RATES'!$B$6+'MOB-DEMOB'!$B$17)</f>
        <v>12300</v>
      </c>
      <c r="E54" s="5" t="n">
        <f aca="false">E53*('LABOR RATES'!$B$4+3*'LABOR RATES'!$B$5+4*'LABOR RATES'!$B$6+'MOB-DEMOB'!$B$17)</f>
        <v>12300</v>
      </c>
      <c r="F54" s="5" t="n">
        <f aca="false">F53*('LABOR RATES'!$B$4+3*'LABOR RATES'!$B$5+4*'LABOR RATES'!$B$6+'MOB-DEMOB'!$B$17)</f>
        <v>12300</v>
      </c>
      <c r="G54" s="5" t="n">
        <f aca="false">G53*('LABOR RATES'!$B$4+3*'LABOR RATES'!$B$5+4*'LABOR RATES'!$B$6+'MOB-DEMOB'!$B$17)</f>
        <v>12300</v>
      </c>
      <c r="H54" s="5" t="n">
        <f aca="false">H53*('LABOR RATES'!$B$4+3*'LABOR RATES'!$B$5+4*'LABOR RATES'!$B$6+'MOB-DEMOB'!$B$17)</f>
        <v>12300</v>
      </c>
      <c r="I54" s="5" t="n">
        <f aca="false">I53*('LABOR RATES'!$B$4+3*'LABOR RATES'!$B$5+4*'LABOR RATES'!$B$6+'MOB-DEMOB'!$B$17)</f>
        <v>12300</v>
      </c>
    </row>
    <row r="55" customFormat="false" ht="15" hidden="false" customHeight="false" outlineLevel="0" collapsed="false">
      <c r="A55" s="1" t="s">
        <v>1731</v>
      </c>
      <c r="B55" s="10" t="n">
        <f aca="false">IF(B41=0,0,IF(MIN(IF(AND(1&gt;=B47,1&lt;=B48,B49&lt;=B19),B50,1000000000),IF(AND(2&gt;=B47,2&lt;=B48,B51&lt;=B19),B52,1000000000),IF(AND(3&gt;=B47,3&lt;=B48,B53&lt;=B19),B54,1000000000))&gt;=1000000000,MIN(3,MAX(B47,B48)),IF(IF(AND(1&gt;=B47,1&lt;=B48,B49&lt;=B19),B50,1000000000)=MIN(IF(AND(1&gt;=B47,1&lt;=B48,B49&lt;=B19),B50,1000000000),IF(AND(2&gt;=B47,2&lt;=B48,B51&lt;=B19),B52,1000000000),IF(AND(3&gt;=B47,3&lt;=B48,B53&lt;=B19),B54,1000000000)),1,IF(IF(AND(2&gt;=B47,2&lt;=B48,B51&lt;=B19),B52,1000000000)=MIN(IF(AND(1&gt;=B47,1&lt;=B48,B49&lt;=B19),B50,1000000000),IF(AND(2&gt;=B47,2&lt;=B48,B51&lt;=B19),B52,1000000000),IF(AND(3&gt;=B47,3&lt;=B48,B53&lt;=B19),B54,1000000000)),2,3))))</f>
        <v>1</v>
      </c>
      <c r="C55" s="10" t="n">
        <f aca="false">IF(C41=0,0,IF(MIN(IF(AND(1&gt;=C47,1&lt;=C48,C49&lt;=C19),C50,1000000000),IF(AND(2&gt;=C47,2&lt;=C48,C51&lt;=C19),C52,1000000000),IF(AND(3&gt;=C47,3&lt;=C48,C53&lt;=C19),C54,1000000000))&gt;=1000000000,MIN(3,MAX(C47,C48)),IF(IF(AND(1&gt;=C47,1&lt;=C48,C49&lt;=C19),C50,1000000000)=MIN(IF(AND(1&gt;=C47,1&lt;=C48,C49&lt;=C19),C50,1000000000),IF(AND(2&gt;=C47,2&lt;=C48,C51&lt;=C19),C52,1000000000),IF(AND(3&gt;=C47,3&lt;=C48,C53&lt;=C19),C54,1000000000)),1,IF(IF(AND(2&gt;=C47,2&lt;=C48,C51&lt;=C19),C52,1000000000)=MIN(IF(AND(1&gt;=C47,1&lt;=C48,C49&lt;=C19),C50,1000000000),IF(AND(2&gt;=C47,2&lt;=C48,C51&lt;=C19),C52,1000000000),IF(AND(3&gt;=C47,3&lt;=C48,C53&lt;=C19),C54,1000000000)),2,3))))</f>
        <v>1</v>
      </c>
      <c r="D55" s="10" t="n">
        <f aca="false">IF(D41=0,0,IF(MIN(IF(AND(1&gt;=D47,1&lt;=D48,D49&lt;=D19),D50,1000000000),IF(AND(2&gt;=D47,2&lt;=D48,D51&lt;=D19),D52,1000000000),IF(AND(3&gt;=D47,3&lt;=D48,D53&lt;=D19),D54,1000000000))&gt;=1000000000,MIN(3,MAX(D47,D48)),IF(IF(AND(1&gt;=D47,1&lt;=D48,D49&lt;=D19),D50,1000000000)=MIN(IF(AND(1&gt;=D47,1&lt;=D48,D49&lt;=D19),D50,1000000000),IF(AND(2&gt;=D47,2&lt;=D48,D51&lt;=D19),D52,1000000000),IF(AND(3&gt;=D47,3&lt;=D48,D53&lt;=D19),D54,1000000000)),1,IF(IF(AND(2&gt;=D47,2&lt;=D48,D51&lt;=D19),D52,1000000000)=MIN(IF(AND(1&gt;=D47,1&lt;=D48,D49&lt;=D19),D50,1000000000),IF(AND(2&gt;=D47,2&lt;=D48,D51&lt;=D19),D52,1000000000),IF(AND(3&gt;=D47,3&lt;=D48,D53&lt;=D19),D54,1000000000)),2,3))))</f>
        <v>2</v>
      </c>
      <c r="E55" s="10" t="n">
        <f aca="false">IF(E41=0,0,IF(MIN(IF(AND(1&gt;=E47,1&lt;=E48,E49&lt;=E19),E50,1000000000),IF(AND(2&gt;=E47,2&lt;=E48,E51&lt;=E19),E52,1000000000),IF(AND(3&gt;=E47,3&lt;=E48,E53&lt;=E19),E54,1000000000))&gt;=1000000000,MIN(3,MAX(E47,E48)),IF(IF(AND(1&gt;=E47,1&lt;=E48,E49&lt;=E19),E50,1000000000)=MIN(IF(AND(1&gt;=E47,1&lt;=E48,E49&lt;=E19),E50,1000000000),IF(AND(2&gt;=E47,2&lt;=E48,E51&lt;=E19),E52,1000000000),IF(AND(3&gt;=E47,3&lt;=E48,E53&lt;=E19),E54,1000000000)),1,IF(IF(AND(2&gt;=E47,2&lt;=E48,E51&lt;=E19),E52,1000000000)=MIN(IF(AND(1&gt;=E47,1&lt;=E48,E49&lt;=E19),E50,1000000000),IF(AND(2&gt;=E47,2&lt;=E48,E51&lt;=E19),E52,1000000000),IF(AND(3&gt;=E47,3&lt;=E48,E53&lt;=E19),E54,1000000000)),2,3))))</f>
        <v>1</v>
      </c>
      <c r="F55" s="10" t="n">
        <f aca="false">IF(F41=0,0,IF(MIN(IF(AND(1&gt;=F47,1&lt;=F48,F49&lt;=F19),F50,1000000000),IF(AND(2&gt;=F47,2&lt;=F48,F51&lt;=F19),F52,1000000000),IF(AND(3&gt;=F47,3&lt;=F48,F53&lt;=F19),F54,1000000000))&gt;=1000000000,MIN(3,MAX(F47,F48)),IF(IF(AND(1&gt;=F47,1&lt;=F48,F49&lt;=F19),F50,1000000000)=MIN(IF(AND(1&gt;=F47,1&lt;=F48,F49&lt;=F19),F50,1000000000),IF(AND(2&gt;=F47,2&lt;=F48,F51&lt;=F19),F52,1000000000),IF(AND(3&gt;=F47,3&lt;=F48,F53&lt;=F19),F54,1000000000)),1,IF(IF(AND(2&gt;=F47,2&lt;=F48,F51&lt;=F19),F52,1000000000)=MIN(IF(AND(1&gt;=F47,1&lt;=F48,F49&lt;=F19),F50,1000000000),IF(AND(2&gt;=F47,2&lt;=F48,F51&lt;=F19),F52,1000000000),IF(AND(3&gt;=F47,3&lt;=F48,F53&lt;=F19),F54,1000000000)),2,3))))</f>
        <v>1</v>
      </c>
      <c r="G55" s="10" t="n">
        <f aca="false">IF(G41=0,0,IF(MIN(IF(AND(1&gt;=G47,1&lt;=G48,G49&lt;=G19),G50,1000000000),IF(AND(2&gt;=G47,2&lt;=G48,G51&lt;=G19),G52,1000000000),IF(AND(3&gt;=G47,3&lt;=G48,G53&lt;=G19),G54,1000000000))&gt;=1000000000,MIN(3,MAX(G47,G48)),IF(IF(AND(1&gt;=G47,1&lt;=G48,G49&lt;=G19),G50,1000000000)=MIN(IF(AND(1&gt;=G47,1&lt;=G48,G49&lt;=G19),G50,1000000000),IF(AND(2&gt;=G47,2&lt;=G48,G51&lt;=G19),G52,1000000000),IF(AND(3&gt;=G47,3&lt;=G48,G53&lt;=G19),G54,1000000000)),1,IF(IF(AND(2&gt;=G47,2&lt;=G48,G51&lt;=G19),G52,1000000000)=MIN(IF(AND(1&gt;=G47,1&lt;=G48,G49&lt;=G19),G50,1000000000),IF(AND(2&gt;=G47,2&lt;=G48,G51&lt;=G19),G52,1000000000),IF(AND(3&gt;=G47,3&lt;=G48,G53&lt;=G19),G54,1000000000)),2,3))))</f>
        <v>1</v>
      </c>
      <c r="H55" s="10" t="n">
        <f aca="false">IF(H41=0,0,IF(MIN(IF(AND(1&gt;=H47,1&lt;=H48,H49&lt;=H19),H50,1000000000),IF(AND(2&gt;=H47,2&lt;=H48,H51&lt;=H19),H52,1000000000),IF(AND(3&gt;=H47,3&lt;=H48,H53&lt;=H19),H54,1000000000))&gt;=1000000000,MIN(3,MAX(H47,H48)),IF(IF(AND(1&gt;=H47,1&lt;=H48,H49&lt;=H19),H50,1000000000)=MIN(IF(AND(1&gt;=H47,1&lt;=H48,H49&lt;=H19),H50,1000000000),IF(AND(2&gt;=H47,2&lt;=H48,H51&lt;=H19),H52,1000000000),IF(AND(3&gt;=H47,3&lt;=H48,H53&lt;=H19),H54,1000000000)),1,IF(IF(AND(2&gt;=H47,2&lt;=H48,H51&lt;=H19),H52,1000000000)=MIN(IF(AND(1&gt;=H47,1&lt;=H48,H49&lt;=H19),H50,1000000000),IF(AND(2&gt;=H47,2&lt;=H48,H51&lt;=H19),H52,1000000000),IF(AND(3&gt;=H47,3&lt;=H48,H53&lt;=H19),H54,1000000000)),2,3))))</f>
        <v>1</v>
      </c>
      <c r="I55" s="10" t="n">
        <f aca="false">IF(I41=0,0,IF(MIN(IF(AND(1&gt;=I47,1&lt;=I48,I49&lt;=I19),I50,1000000000),IF(AND(2&gt;=I47,2&lt;=I48,I51&lt;=I19),I52,1000000000),IF(AND(3&gt;=I47,3&lt;=I48,I53&lt;=I19),I54,1000000000))&gt;=1000000000,MIN(3,MAX(I47,I48)),IF(IF(AND(1&gt;=I47,1&lt;=I48,I49&lt;=I19),I50,1000000000)=MIN(IF(AND(1&gt;=I47,1&lt;=I48,I49&lt;=I19),I50,1000000000),IF(AND(2&gt;=I47,2&lt;=I48,I51&lt;=I19),I52,1000000000),IF(AND(3&gt;=I47,3&lt;=I48,I53&lt;=I19),I54,1000000000)),1,IF(IF(AND(2&gt;=I47,2&lt;=I48,I51&lt;=I19),I52,1000000000)=MIN(IF(AND(1&gt;=I47,1&lt;=I48,I49&lt;=I19),I50,1000000000),IF(AND(2&gt;=I47,2&lt;=I48,I51&lt;=I19),I52,1000000000),IF(AND(3&gt;=I47,3&lt;=I48,I53&lt;=I19),I54,1000000000)),2,3))))</f>
        <v>1</v>
      </c>
      <c r="J55" s="2" t="s">
        <v>1732</v>
      </c>
    </row>
    <row r="56" customFormat="false" ht="15" hidden="false" customHeight="false" outlineLevel="0" collapsed="false">
      <c r="A56" s="1" t="s">
        <v>107</v>
      </c>
      <c r="B56" s="3" t="n">
        <f aca="false">IF(B55=0,0,CHOOSE(B55,B49,B51,B53))</f>
        <v>1</v>
      </c>
      <c r="C56" s="3" t="n">
        <f aca="false">IF(C55=0,0,CHOOSE(C55,C49,C51,C53))</f>
        <v>1</v>
      </c>
      <c r="D56" s="3" t="n">
        <f aca="false">IF(D55=0,0,CHOOSE(D55,D49,D51,D53))</f>
        <v>1</v>
      </c>
      <c r="E56" s="3" t="n">
        <f aca="false">IF(E55=0,0,CHOOSE(E55,E49,E51,E53))</f>
        <v>1</v>
      </c>
      <c r="F56" s="3" t="n">
        <f aca="false">IF(F55=0,0,CHOOSE(F55,F49,F51,F53))</f>
        <v>1</v>
      </c>
      <c r="G56" s="3" t="n">
        <f aca="false">IF(G55=0,0,CHOOSE(G55,G49,G51,G53))</f>
        <v>1</v>
      </c>
      <c r="H56" s="3" t="n">
        <f aca="false">IF(H55=0,0,CHOOSE(H55,H49,H51,H53))</f>
        <v>1</v>
      </c>
      <c r="I56" s="3" t="n">
        <f aca="false">IF(I55=0,0,CHOOSE(I55,I49,I51,I53))</f>
        <v>1</v>
      </c>
    </row>
    <row r="57" customFormat="false" ht="15" hidden="false" customHeight="false" outlineLevel="0" collapsed="false">
      <c r="A57" s="1" t="s">
        <v>106</v>
      </c>
      <c r="B57" s="10" t="n">
        <f aca="false">IF(B55=0,0,2+2*B55)</f>
        <v>4</v>
      </c>
      <c r="C57" s="10" t="n">
        <f aca="false">IF(C55=0,0,2+2*C55)</f>
        <v>4</v>
      </c>
      <c r="D57" s="10" t="n">
        <f aca="false">IF(D55=0,0,2+2*D55)</f>
        <v>6</v>
      </c>
      <c r="E57" s="10" t="n">
        <f aca="false">IF(E55=0,0,2+2*E55)</f>
        <v>4</v>
      </c>
      <c r="F57" s="10" t="n">
        <f aca="false">IF(F55=0,0,2+2*F55)</f>
        <v>4</v>
      </c>
      <c r="G57" s="10" t="n">
        <f aca="false">IF(G55=0,0,2+2*G55)</f>
        <v>4</v>
      </c>
      <c r="H57" s="10" t="n">
        <f aca="false">IF(H55=0,0,2+2*H55)</f>
        <v>4</v>
      </c>
      <c r="I57" s="10" t="n">
        <f aca="false">IF(I55=0,0,2+2*I55)</f>
        <v>4</v>
      </c>
    </row>
    <row r="58" customFormat="false" ht="15" hidden="false" customHeight="false" outlineLevel="0" collapsed="false">
      <c r="A58" s="2" t="s">
        <v>105</v>
      </c>
      <c r="B58" s="2" t="str">
        <f aca="false">IF(B55=0,"","1 team lead, "&amp;B55&amp;" skilled, "&amp;(B55+1)&amp;" laborers")</f>
        <v>1 team lead, 1 skilled, 2 laborers</v>
      </c>
      <c r="C58" s="2" t="str">
        <f aca="false">IF(C55=0,"","1 team lead, "&amp;C55&amp;" skilled, "&amp;(C55+1)&amp;" laborers")</f>
        <v>1 team lead, 1 skilled, 2 laborers</v>
      </c>
      <c r="D58" s="2" t="str">
        <f aca="false">IF(D55=0,"","1 team lead, "&amp;D55&amp;" skilled, "&amp;(D55+1)&amp;" laborers")</f>
        <v>1 team lead, 2 skilled, 3 laborers</v>
      </c>
      <c r="E58" s="2" t="str">
        <f aca="false">IF(E55=0,"","1 team lead, "&amp;E55&amp;" skilled, "&amp;(E55+1)&amp;" laborers")</f>
        <v>1 team lead, 1 skilled, 2 laborers</v>
      </c>
      <c r="F58" s="2" t="str">
        <f aca="false">IF(F55=0,"","1 team lead, "&amp;F55&amp;" skilled, "&amp;(F55+1)&amp;" laborers")</f>
        <v>1 team lead, 1 skilled, 2 laborers</v>
      </c>
      <c r="G58" s="2" t="str">
        <f aca="false">IF(G55=0,"","1 team lead, "&amp;G55&amp;" skilled, "&amp;(G55+1)&amp;" laborers")</f>
        <v>1 team lead, 1 skilled, 2 laborers</v>
      </c>
      <c r="H58" s="2" t="str">
        <f aca="false">IF(H55=0,"","1 team lead, "&amp;H55&amp;" skilled, "&amp;(H55+1)&amp;" laborers")</f>
        <v>1 team lead, 1 skilled, 2 laborers</v>
      </c>
      <c r="I58" s="2" t="str">
        <f aca="false">IF(I55=0,"","1 team lead, "&amp;I55&amp;" skilled, "&amp;(I55+1)&amp;" laborers")</f>
        <v>1 team lead, 1 skilled, 2 laborers</v>
      </c>
    </row>
    <row r="59" customFormat="false" ht="15" hidden="false" customHeight="false" outlineLevel="0" collapsed="false">
      <c r="A59" s="2" t="s">
        <v>1733</v>
      </c>
      <c r="B59" s="3" t="n">
        <f aca="false">IF(B55=0,0,B25/(2*B55))</f>
        <v>1.921875</v>
      </c>
      <c r="C59" s="3" t="n">
        <f aca="false">IF(C55=0,0,C25/(2*C55))</f>
        <v>2.625</v>
      </c>
      <c r="D59" s="3" t="n">
        <f aca="false">IF(D55=0,0,D25/(2*D55))</f>
        <v>1.6640625</v>
      </c>
      <c r="E59" s="3" t="n">
        <f aca="false">IF(E55=0,0,E25/(2*E55))</f>
        <v>4.03125</v>
      </c>
      <c r="F59" s="3" t="n">
        <f aca="false">IF(F55=0,0,F25/(2*F55))</f>
        <v>4.734375</v>
      </c>
      <c r="G59" s="3" t="n">
        <f aca="false">IF(G55=0,0,G25/(2*G55))</f>
        <v>6</v>
      </c>
      <c r="H59" s="3" t="n">
        <f aca="false">IF(H55=0,0,H25/(2*H55))</f>
        <v>5.90625</v>
      </c>
      <c r="I59" s="3" t="n">
        <f aca="false">IF(I55=0,0,I25/(2*I55))</f>
        <v>2.625</v>
      </c>
    </row>
    <row r="61" customFormat="false" ht="15" hidden="false" customHeight="false" outlineLevel="0" collapsed="false">
      <c r="A61" s="1" t="s">
        <v>1734</v>
      </c>
    </row>
    <row r="62" customFormat="false" ht="15" hidden="false" customHeight="false" outlineLevel="0" collapsed="false">
      <c r="A62" s="2" t="s">
        <v>1735</v>
      </c>
      <c r="B62" s="5" t="n">
        <f aca="false">B56*'LABOR RATES'!$B$4</f>
        <v>3000</v>
      </c>
      <c r="C62" s="5" t="n">
        <f aca="false">C56*'LABOR RATES'!$B$4</f>
        <v>3000</v>
      </c>
      <c r="D62" s="5" t="n">
        <f aca="false">D56*'LABOR RATES'!$B$4</f>
        <v>3000</v>
      </c>
      <c r="E62" s="5" t="n">
        <f aca="false">E56*'LABOR RATES'!$B$4</f>
        <v>3000</v>
      </c>
      <c r="F62" s="5" t="n">
        <f aca="false">F56*'LABOR RATES'!$B$4</f>
        <v>3000</v>
      </c>
      <c r="G62" s="5" t="n">
        <f aca="false">G56*'LABOR RATES'!$B$4</f>
        <v>3000</v>
      </c>
      <c r="H62" s="5" t="n">
        <f aca="false">H56*'LABOR RATES'!$B$4</f>
        <v>3000</v>
      </c>
      <c r="I62" s="5" t="n">
        <f aca="false">I56*'LABOR RATES'!$B$4</f>
        <v>3000</v>
      </c>
    </row>
    <row r="63" customFormat="false" ht="15" hidden="false" customHeight="false" outlineLevel="0" collapsed="false">
      <c r="A63" s="2" t="s">
        <v>1736</v>
      </c>
      <c r="B63" s="5" t="n">
        <f aca="false">B55*B56*'LABOR RATES'!$B$5</f>
        <v>1500</v>
      </c>
      <c r="C63" s="5" t="n">
        <f aca="false">C55*C56*'LABOR RATES'!$B$5</f>
        <v>1500</v>
      </c>
      <c r="D63" s="5" t="n">
        <f aca="false">D55*D56*'LABOR RATES'!$B$5</f>
        <v>3000</v>
      </c>
      <c r="E63" s="5" t="n">
        <f aca="false">E55*E56*'LABOR RATES'!$B$5</f>
        <v>1500</v>
      </c>
      <c r="F63" s="5" t="n">
        <f aca="false">F55*F56*'LABOR RATES'!$B$5</f>
        <v>1500</v>
      </c>
      <c r="G63" s="5" t="n">
        <f aca="false">G55*G56*'LABOR RATES'!$B$5</f>
        <v>1500</v>
      </c>
      <c r="H63" s="5" t="n">
        <f aca="false">H55*H56*'LABOR RATES'!$B$5</f>
        <v>1500</v>
      </c>
      <c r="I63" s="5" t="n">
        <f aca="false">I55*I56*'LABOR RATES'!$B$5</f>
        <v>1500</v>
      </c>
    </row>
    <row r="64" customFormat="false" ht="15" hidden="false" customHeight="false" outlineLevel="0" collapsed="false">
      <c r="A64" s="2" t="s">
        <v>1737</v>
      </c>
      <c r="B64" s="5" t="n">
        <f aca="false">IF(B55=0,0,(B55+1)*B56*'LABOR RATES'!$B$6)</f>
        <v>2000</v>
      </c>
      <c r="C64" s="5" t="n">
        <f aca="false">IF(C55=0,0,(C55+1)*C56*'LABOR RATES'!$B$6)</f>
        <v>2000</v>
      </c>
      <c r="D64" s="5" t="n">
        <f aca="false">IF(D55=0,0,(D55+1)*D56*'LABOR RATES'!$B$6)</f>
        <v>3000</v>
      </c>
      <c r="E64" s="5" t="n">
        <f aca="false">IF(E55=0,0,(E55+1)*E56*'LABOR RATES'!$B$6)</f>
        <v>2000</v>
      </c>
      <c r="F64" s="5" t="n">
        <f aca="false">IF(F55=0,0,(F55+1)*F56*'LABOR RATES'!$B$6)</f>
        <v>2000</v>
      </c>
      <c r="G64" s="5" t="n">
        <f aca="false">IF(G55=0,0,(G55+1)*G56*'LABOR RATES'!$B$6)</f>
        <v>2000</v>
      </c>
      <c r="H64" s="5" t="n">
        <f aca="false">IF(H55=0,0,(H55+1)*H56*'LABOR RATES'!$B$6)</f>
        <v>2000</v>
      </c>
      <c r="I64" s="5" t="n">
        <f aca="false">IF(I55=0,0,(I55+1)*I56*'LABOR RATES'!$B$6)</f>
        <v>2000</v>
      </c>
    </row>
    <row r="65" customFormat="false" ht="15" hidden="false" customHeight="false" outlineLevel="0" collapsed="false">
      <c r="A65" s="2" t="s">
        <v>1738</v>
      </c>
      <c r="B65" s="5" t="n">
        <f aca="false">B20*'LABOR RATES'!$B$8</f>
        <v>0</v>
      </c>
      <c r="C65" s="5" t="n">
        <f aca="false">C20*'LABOR RATES'!$B$8</f>
        <v>0</v>
      </c>
      <c r="D65" s="5" t="n">
        <f aca="false">D20*'LABOR RATES'!$B$8</f>
        <v>0</v>
      </c>
      <c r="E65" s="5" t="n">
        <f aca="false">E20*'LABOR RATES'!$B$8</f>
        <v>0</v>
      </c>
      <c r="F65" s="5" t="n">
        <f aca="false">F20*'LABOR RATES'!$B$8</f>
        <v>0</v>
      </c>
      <c r="G65" s="5" t="n">
        <f aca="false">G20*'LABOR RATES'!$B$8</f>
        <v>0</v>
      </c>
      <c r="H65" s="5" t="n">
        <f aca="false">H20*'LABOR RATES'!$B$8</f>
        <v>0</v>
      </c>
      <c r="I65" s="5" t="n">
        <f aca="false">I20*'LABOR RATES'!$B$8</f>
        <v>0</v>
      </c>
    </row>
    <row r="66" customFormat="false" ht="15" hidden="false" customHeight="false" outlineLevel="0" collapsed="false">
      <c r="A66" s="1" t="s">
        <v>1739</v>
      </c>
      <c r="B66" s="5" t="n">
        <f aca="false">SUM(B62:B65)</f>
        <v>6500</v>
      </c>
      <c r="C66" s="5" t="n">
        <f aca="false">SUM(C62:C65)</f>
        <v>6500</v>
      </c>
      <c r="D66" s="5" t="n">
        <f aca="false">SUM(D62:D65)</f>
        <v>9000</v>
      </c>
      <c r="E66" s="5" t="n">
        <f aca="false">SUM(E62:E65)</f>
        <v>6500</v>
      </c>
      <c r="F66" s="5" t="n">
        <f aca="false">SUM(F62:F65)</f>
        <v>6500</v>
      </c>
      <c r="G66" s="5" t="n">
        <f aca="false">SUM(G62:G65)</f>
        <v>6500</v>
      </c>
      <c r="H66" s="5" t="n">
        <f aca="false">SUM(H62:H65)</f>
        <v>6500</v>
      </c>
      <c r="I66" s="5" t="n">
        <f aca="false">SUM(I62:I65)</f>
        <v>6500</v>
      </c>
    </row>
    <row r="67" customFormat="false" ht="15" hidden="false" customHeight="false" outlineLevel="0" collapsed="false">
      <c r="A67" s="2" t="s">
        <v>108</v>
      </c>
      <c r="B67" s="3" t="n">
        <f aca="false">B57*B56+B20</f>
        <v>4</v>
      </c>
      <c r="C67" s="3" t="n">
        <f aca="false">C57*C56+C20</f>
        <v>4</v>
      </c>
      <c r="D67" s="3" t="n">
        <f aca="false">D57*D56+D20</f>
        <v>6</v>
      </c>
      <c r="E67" s="3" t="n">
        <f aca="false">E57*E56+E20</f>
        <v>4</v>
      </c>
      <c r="F67" s="3" t="n">
        <f aca="false">F57*F56+F20</f>
        <v>4</v>
      </c>
      <c r="G67" s="3" t="n">
        <f aca="false">G57*G56+G20</f>
        <v>4</v>
      </c>
      <c r="H67" s="3" t="n">
        <f aca="false">H57*H56+H20</f>
        <v>4</v>
      </c>
      <c r="I67" s="3" t="n">
        <f aca="false">I57*I56+I20</f>
        <v>4</v>
      </c>
    </row>
    <row r="69" customFormat="false" ht="15" hidden="false" customHeight="false" outlineLevel="0" collapsed="false">
      <c r="A69" s="1" t="s">
        <v>1740</v>
      </c>
    </row>
    <row r="70" customFormat="false" ht="15" hidden="false" customHeight="false" outlineLevel="0" collapsed="false">
      <c r="A70" s="2" t="s">
        <v>1741</v>
      </c>
      <c r="B70" s="3" t="n">
        <f aca="false">B56</f>
        <v>1</v>
      </c>
      <c r="C70" s="3" t="n">
        <f aca="false">C56</f>
        <v>1</v>
      </c>
      <c r="D70" s="3" t="n">
        <f aca="false">D56</f>
        <v>1</v>
      </c>
      <c r="E70" s="3" t="n">
        <f aca="false">E56</f>
        <v>1</v>
      </c>
      <c r="F70" s="3" t="n">
        <f aca="false">F56</f>
        <v>1</v>
      </c>
      <c r="G70" s="3" t="n">
        <f aca="false">G56</f>
        <v>1</v>
      </c>
      <c r="H70" s="3" t="n">
        <f aca="false">H56</f>
        <v>1</v>
      </c>
      <c r="I70" s="3" t="n">
        <f aca="false">I56</f>
        <v>1</v>
      </c>
    </row>
    <row r="71" customFormat="false" ht="15" hidden="false" customHeight="false" outlineLevel="0" collapsed="false">
      <c r="A71" s="2" t="s">
        <v>1742</v>
      </c>
      <c r="B71" s="5" t="n">
        <f aca="false">B70*'MOB-DEMOB'!$B$17</f>
        <v>800</v>
      </c>
      <c r="C71" s="5" t="n">
        <f aca="false">C70*'MOB-DEMOB'!$B$17</f>
        <v>800</v>
      </c>
      <c r="D71" s="5" t="n">
        <f aca="false">D70*'MOB-DEMOB'!$B$17</f>
        <v>800</v>
      </c>
      <c r="E71" s="5" t="n">
        <f aca="false">E70*'MOB-DEMOB'!$B$17</f>
        <v>800</v>
      </c>
      <c r="F71" s="5" t="n">
        <f aca="false">F70*'MOB-DEMOB'!$B$17</f>
        <v>800</v>
      </c>
      <c r="G71" s="5" t="n">
        <f aca="false">G70*'MOB-DEMOB'!$B$17</f>
        <v>800</v>
      </c>
      <c r="H71" s="5" t="n">
        <f aca="false">H70*'MOB-DEMOB'!$B$17</f>
        <v>800</v>
      </c>
      <c r="I71" s="5" t="n">
        <f aca="false">I70*'MOB-DEMOB'!$B$17</f>
        <v>800</v>
      </c>
    </row>
    <row r="72" customFormat="false" ht="15" hidden="false" customHeight="false" outlineLevel="0" collapsed="false">
      <c r="A72" s="2" t="s">
        <v>1743</v>
      </c>
      <c r="B72" s="5" t="n">
        <f aca="false">IF(B5&gt;0,'MOB-DEMOB'!$B$20,0)</f>
        <v>500</v>
      </c>
      <c r="C72" s="5" t="n">
        <f aca="false">IF(C5&gt;0,'MOB-DEMOB'!$B$20,0)</f>
        <v>500</v>
      </c>
      <c r="D72" s="5" t="n">
        <f aca="false">IF(D5&gt;0,'MOB-DEMOB'!$B$20,0)</f>
        <v>500</v>
      </c>
      <c r="E72" s="5" t="n">
        <f aca="false">IF(E5&gt;0,'MOB-DEMOB'!$B$20,0)</f>
        <v>500</v>
      </c>
      <c r="F72" s="5" t="n">
        <f aca="false">IF(F5&gt;0,'MOB-DEMOB'!$B$20,0)</f>
        <v>500</v>
      </c>
      <c r="G72" s="5" t="n">
        <f aca="false">IF(G5&gt;0,'MOB-DEMOB'!$B$20,0)</f>
        <v>500</v>
      </c>
      <c r="H72" s="5" t="n">
        <f aca="false">IF(H5&gt;0,'MOB-DEMOB'!$B$20,0)</f>
        <v>500</v>
      </c>
      <c r="I72" s="5" t="n">
        <f aca="false">IF(I5&gt;0,'MOB-DEMOB'!$B$20,0)</f>
        <v>500</v>
      </c>
    </row>
    <row r="73" customFormat="false" ht="15" hidden="false" customHeight="false" outlineLevel="0" collapsed="false">
      <c r="A73" s="1" t="s">
        <v>1744</v>
      </c>
      <c r="B73" s="5" t="n">
        <f aca="false">B71+B72</f>
        <v>1300</v>
      </c>
      <c r="C73" s="5" t="n">
        <f aca="false">C71+C72</f>
        <v>1300</v>
      </c>
      <c r="D73" s="5" t="n">
        <f aca="false">D71+D72</f>
        <v>1300</v>
      </c>
      <c r="E73" s="5" t="n">
        <f aca="false">E71+E72</f>
        <v>1300</v>
      </c>
      <c r="F73" s="5" t="n">
        <f aca="false">F71+F72</f>
        <v>1300</v>
      </c>
      <c r="G73" s="5" t="n">
        <f aca="false">G71+G72</f>
        <v>1300</v>
      </c>
      <c r="H73" s="5" t="n">
        <f aca="false">H71+H72</f>
        <v>1300</v>
      </c>
      <c r="I73" s="5" t="n">
        <f aca="false">I71+I72</f>
        <v>1300</v>
      </c>
    </row>
    <row r="75" customFormat="false" ht="15" hidden="false" customHeight="false" outlineLevel="0" collapsed="false">
      <c r="A75" s="1" t="s">
        <v>1745</v>
      </c>
      <c r="B75" s="5" t="n">
        <f aca="false">B66+B73</f>
        <v>7800</v>
      </c>
      <c r="C75" s="5" t="n">
        <f aca="false">C66+C73</f>
        <v>7800</v>
      </c>
      <c r="D75" s="5" t="n">
        <f aca="false">D66+D73</f>
        <v>10300</v>
      </c>
      <c r="E75" s="5" t="n">
        <f aca="false">E66+E73</f>
        <v>7800</v>
      </c>
      <c r="F75" s="5" t="n">
        <f aca="false">F66+F73</f>
        <v>7800</v>
      </c>
      <c r="G75" s="5" t="n">
        <f aca="false">G66+G73</f>
        <v>7800</v>
      </c>
      <c r="H75" s="5" t="n">
        <f aca="false">H66+H73</f>
        <v>7800</v>
      </c>
      <c r="I75" s="5" t="n">
        <f aca="false">I66+I73</f>
        <v>7800</v>
      </c>
    </row>
    <row r="76" customFormat="false" ht="15" hidden="false" customHeight="false" outlineLevel="0" collapsed="false">
      <c r="A76" s="2" t="s">
        <v>1746</v>
      </c>
      <c r="B76" s="5"/>
      <c r="C76" s="5" t="n">
        <v>21500</v>
      </c>
      <c r="D76" s="5" t="n">
        <v>21500</v>
      </c>
      <c r="E76" s="5" t="n">
        <v>22500</v>
      </c>
      <c r="F76" s="5" t="n">
        <v>25000</v>
      </c>
      <c r="G76" s="5"/>
      <c r="H76" s="5"/>
      <c r="I76" s="5"/>
      <c r="J76" s="2" t="s">
        <v>1747</v>
      </c>
    </row>
    <row r="77" customFormat="false" ht="15" hidden="false" customHeight="false" outlineLevel="0" collapsed="false">
      <c r="A77" s="2" t="s">
        <v>1748</v>
      </c>
      <c r="B77" s="5" t="str">
        <f aca="false">IF(B76="","",B75-B76)</f>
        <v/>
      </c>
      <c r="C77" s="5" t="n">
        <f aca="false">IF(C76="","",C75-C76)</f>
        <v>-13700</v>
      </c>
      <c r="D77" s="5" t="n">
        <f aca="false">IF(D76="","",D75-D76)</f>
        <v>-11200</v>
      </c>
      <c r="E77" s="5" t="n">
        <f aca="false">IF(E76="","",E75-E76)</f>
        <v>-14700</v>
      </c>
      <c r="F77" s="5" t="n">
        <f aca="false">IF(F76="","",F75-F76)</f>
        <v>-17200</v>
      </c>
      <c r="G77" s="5" t="str">
        <f aca="false">IF(G76="","",G75-G76)</f>
        <v/>
      </c>
      <c r="H77" s="5" t="str">
        <f aca="false">IF(H76="","",H75-H76)</f>
        <v/>
      </c>
      <c r="I77" s="5" t="str">
        <f aca="false">IF(I76="","",I75-I76)</f>
        <v/>
      </c>
    </row>
    <row r="79" customFormat="false" ht="15" hidden="false" customHeight="false" outlineLevel="0" collapsed="false">
      <c r="A79" s="1" t="s">
        <v>1749</v>
      </c>
    </row>
    <row r="80" customFormat="false" ht="15" hidden="false" customHeight="false" outlineLevel="0" collapsed="false">
      <c r="A80" s="2" t="s">
        <v>1750</v>
      </c>
      <c r="B80" s="5" t="n">
        <f aca="false">B56*TOOLS!$B$38</f>
        <v>905.624978858076</v>
      </c>
      <c r="C80" s="5" t="n">
        <f aca="false">C56*TOOLS!$B$38</f>
        <v>905.624978858076</v>
      </c>
      <c r="D80" s="5" t="n">
        <f aca="false">D56*TOOLS!$B$38</f>
        <v>905.624978858076</v>
      </c>
      <c r="E80" s="5" t="n">
        <f aca="false">E56*TOOLS!$B$38</f>
        <v>905.624978858076</v>
      </c>
      <c r="F80" s="5" t="n">
        <f aca="false">F56*TOOLS!$B$38</f>
        <v>905.624978858076</v>
      </c>
      <c r="G80" s="5" t="n">
        <f aca="false">G56*TOOLS!$B$38</f>
        <v>905.624978858076</v>
      </c>
      <c r="H80" s="5" t="n">
        <f aca="false">H56*TOOLS!$B$38</f>
        <v>905.624978858076</v>
      </c>
      <c r="I80" s="5" t="n">
        <f aca="false">I56*TOOLS!$B$38</f>
        <v>905.624978858076</v>
      </c>
    </row>
    <row r="82" customFormat="false" ht="15" hidden="false" customHeight="false" outlineLevel="0" collapsed="false">
      <c r="A82" s="1" t="s">
        <v>1751</v>
      </c>
      <c r="B82" s="5" t="n">
        <f aca="false">B75+B80</f>
        <v>8705.62497885808</v>
      </c>
      <c r="C82" s="5" t="n">
        <f aca="false">C75+C80</f>
        <v>8705.62497885808</v>
      </c>
      <c r="D82" s="5" t="n">
        <f aca="false">D75+D80</f>
        <v>11205.6249788581</v>
      </c>
      <c r="E82" s="5" t="n">
        <f aca="false">E75+E80</f>
        <v>8705.62497885808</v>
      </c>
      <c r="F82" s="5" t="n">
        <f aca="false">F75+F80</f>
        <v>8705.62497885808</v>
      </c>
      <c r="G82" s="5" t="n">
        <f aca="false">G75+G80</f>
        <v>8705.62497885808</v>
      </c>
      <c r="H82" s="5" t="n">
        <f aca="false">H75+H80</f>
        <v>8705.62497885808</v>
      </c>
      <c r="I82" s="5" t="n">
        <f aca="false">I75+I80</f>
        <v>8705.62497885808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2026-10-02T06:43:58Z</dcterms:created>
  <dc:creator>openpyxl</dc:creator>
  <dc:description/>
  <dc:language>en-US</dc:language>
  <cp:lastModifiedBy/>
  <dcterms:modified xsi:type="dcterms:W3CDTF">2026-10-02T06:43:58Z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